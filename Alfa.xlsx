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2" r:id="rId1"/>
    <sheet name="PRUEBAS BOLIVAR" sheetId="3" state="hidden" r:id="rId2"/>
    <sheet name="FINALIZADOS 2" sheetId="4" state="hidden" r:id="rId3"/>
    <sheet name="FINALIZADOS" sheetId="5" state="hidden" r:id="rId4"/>
    <sheet name="fESTIVOS" sheetId="6" state="hidden" r:id="rId5"/>
    <sheet name="ASISTENCIA" sheetId="7" state="hidden" r:id="rId6"/>
    <sheet name="Caidas del sistema" sheetId="8" state="hidden" r:id="rId7"/>
    <sheet name="pruebas i" sheetId="9" state="hidden" r:id="rId8"/>
  </sheets>
  <definedNames>
    <definedName name="_xlnm._FilterDatabase" localSheetId="0" hidden="1">'EN PROCESO (Alfa)'!$A$1:$S$154</definedName>
    <definedName name="_xlnm._FilterDatabase" localSheetId="3" hidden="1">FINALIZADOS!$A$1:$M$219</definedName>
    <definedName name="_xlnm._FilterDatabase" localSheetId="1" hidden="1">'PRUEBAS BOLIVAR'!$A$1:$L$16</definedName>
  </definedNames>
  <calcPr calcId="162913"/>
  <extLst>
    <ext uri="GoogleSheetsCustomDataVersion2">
      <go:sheetsCustomData xmlns:go="http://customooxmlschemas.google.com/" r:id="rId13" roundtripDataChecksum="ZmttmxA2iwok69zTLhLWCy78hOFboALH86ShK24koek="/>
    </ext>
  </extLst>
</workbook>
</file>

<file path=xl/calcChain.xml><?xml version="1.0" encoding="utf-8"?>
<calcChain xmlns="http://schemas.openxmlformats.org/spreadsheetml/2006/main">
  <c r="H134" i="2" l="1"/>
  <c r="H135" i="2"/>
  <c r="H136" i="2"/>
  <c r="H137" i="2"/>
  <c r="H138" i="2"/>
  <c r="H139" i="2"/>
  <c r="H140" i="2"/>
  <c r="H141" i="2"/>
  <c r="H142" i="2"/>
  <c r="H143" i="2"/>
  <c r="H144" i="2"/>
  <c r="H145" i="2"/>
  <c r="H146" i="2"/>
  <c r="H147" i="2"/>
  <c r="H148" i="2"/>
  <c r="H149" i="2"/>
  <c r="H150" i="2"/>
  <c r="H151" i="2"/>
  <c r="H152" i="2"/>
  <c r="H153" i="2"/>
  <c r="H154" i="2"/>
  <c r="H133" i="2"/>
  <c r="I5" i="9"/>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54" i="2"/>
  <c r="M153" i="2"/>
  <c r="M152" i="2"/>
  <c r="M151" i="2"/>
  <c r="M150" i="2"/>
  <c r="M149" i="2"/>
  <c r="M148" i="2"/>
  <c r="M147" i="2"/>
  <c r="M146" i="2"/>
  <c r="M145" i="2"/>
  <c r="M144" i="2"/>
  <c r="M143" i="2"/>
  <c r="M142" i="2"/>
  <c r="M141" i="2"/>
  <c r="M140" i="2"/>
  <c r="M139" i="2"/>
  <c r="M138" i="2"/>
  <c r="M137" i="2"/>
  <c r="M136" i="2"/>
  <c r="M135" i="2"/>
  <c r="M134" i="2"/>
  <c r="M133" i="2"/>
  <c r="M132" i="2"/>
  <c r="H132" i="2"/>
  <c r="M131" i="2"/>
  <c r="H131" i="2"/>
  <c r="M130" i="2"/>
  <c r="H130" i="2"/>
  <c r="M129" i="2"/>
  <c r="H129" i="2"/>
  <c r="M128" i="2"/>
  <c r="H128" i="2"/>
  <c r="M127" i="2"/>
  <c r="H127" i="2"/>
  <c r="M126" i="2"/>
  <c r="H126" i="2"/>
  <c r="M125" i="2"/>
  <c r="H125" i="2"/>
  <c r="M124" i="2"/>
  <c r="H124" i="2"/>
  <c r="M123" i="2"/>
  <c r="H123" i="2"/>
  <c r="M122" i="2"/>
  <c r="H122" i="2"/>
  <c r="M121" i="2"/>
  <c r="H121" i="2"/>
  <c r="M120" i="2"/>
  <c r="H120" i="2"/>
  <c r="M119" i="2"/>
  <c r="H119" i="2"/>
  <c r="M118" i="2"/>
  <c r="H118" i="2"/>
  <c r="M117" i="2"/>
  <c r="H117" i="2"/>
  <c r="M116" i="2"/>
  <c r="H116" i="2"/>
  <c r="M115" i="2"/>
  <c r="H115" i="2"/>
  <c r="M114" i="2"/>
  <c r="H114" i="2"/>
  <c r="M113" i="2"/>
  <c r="H113" i="2"/>
  <c r="M112" i="2"/>
  <c r="H112" i="2"/>
  <c r="M111" i="2"/>
  <c r="H111" i="2"/>
  <c r="M110" i="2"/>
  <c r="H110" i="2"/>
  <c r="M109" i="2"/>
  <c r="H109" i="2"/>
  <c r="M108" i="2"/>
  <c r="H108" i="2"/>
  <c r="M107" i="2"/>
  <c r="H107" i="2"/>
  <c r="M106" i="2"/>
  <c r="H106" i="2"/>
  <c r="M105" i="2"/>
  <c r="H105" i="2"/>
  <c r="M104" i="2"/>
  <c r="H104" i="2"/>
  <c r="M103" i="2"/>
  <c r="H103" i="2"/>
  <c r="M102" i="2"/>
  <c r="H102" i="2"/>
  <c r="M101" i="2"/>
  <c r="H101" i="2"/>
  <c r="M100" i="2"/>
  <c r="H100" i="2"/>
  <c r="M99" i="2"/>
  <c r="H99" i="2"/>
  <c r="M98" i="2"/>
  <c r="H98" i="2"/>
  <c r="M97" i="2"/>
  <c r="H97" i="2"/>
  <c r="M96" i="2"/>
  <c r="H96" i="2"/>
  <c r="M95" i="2"/>
  <c r="H95" i="2"/>
  <c r="M94" i="2"/>
  <c r="H94" i="2"/>
  <c r="M93" i="2"/>
  <c r="H93" i="2"/>
  <c r="M92" i="2"/>
  <c r="H92" i="2"/>
  <c r="M91" i="2"/>
  <c r="H91" i="2"/>
  <c r="M90" i="2"/>
  <c r="H90" i="2"/>
  <c r="M89" i="2"/>
  <c r="H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<sst xmlns="http://schemas.openxmlformats.org/spreadsheetml/2006/main" count="3947" uniqueCount="1581">
  <si>
    <t>Asignado a</t>
  </si>
  <si>
    <t>Jira Caja</t>
  </si>
  <si>
    <t xml:space="preserve">Requerimiento </t>
  </si>
  <si>
    <t>Actividad</t>
  </si>
  <si>
    <t>ESTADO</t>
  </si>
  <si>
    <t>Dias estimados desarrollo</t>
  </si>
  <si>
    <t>F.Asignado</t>
  </si>
  <si>
    <t>Fecha inicio</t>
  </si>
  <si>
    <t>Fecha estimada de entrega</t>
  </si>
  <si>
    <t>Finalizado</t>
  </si>
  <si>
    <t>Dias total desarrollo</t>
  </si>
  <si>
    <t>Fecha compromiso cliente</t>
  </si>
  <si>
    <t>TEST</t>
  </si>
  <si>
    <t>PRODUCCION</t>
  </si>
  <si>
    <t>OBSERVACIONES</t>
  </si>
  <si>
    <t>Jira TEST</t>
  </si>
  <si>
    <t>jira PROD</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</si>
  <si>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</si>
  <si>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</si>
  <si>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</si>
  <si>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</si>
  <si>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</si>
  <si>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</si>
  <si>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</si>
  <si>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</si>
  <si>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</si>
  <si>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</si>
  <si>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</si>
  <si>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</si>
  <si>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</si>
  <si>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</si>
  <si>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</si>
  <si>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</si>
  <si>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</si>
  <si>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</si>
  <si>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</si>
  <si>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</si>
  <si>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FINALIZADO</t>
  </si>
  <si>
    <t>TRUE</t>
  </si>
  <si>
    <t>PAUSADO</t>
  </si>
  <si>
    <t>PENDIENTE</t>
  </si>
  <si>
    <t>No se reportan avances</t>
  </si>
  <si>
    <t xml:space="preserve">Se entregó a test,  el vienres 2 de mayo </t>
  </si>
  <si>
    <t>GD772-109</t>
  </si>
  <si>
    <t>CNTI-271</t>
  </si>
  <si>
    <t>EN PROCESO</t>
  </si>
  <si>
    <t>EN TEST</t>
  </si>
  <si>
    <t>GD772-73  Agregar al informe de numero de solicitu  que devuelve el servicio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</si>
  <si>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</si>
  <si>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</si>
  <si>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</si>
  <si>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</si>
  <si>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 xml:space="preserve">Ajuste informe Autorizaciones salud (2) </t>
  </si>
  <si>
    <t># REQ</t>
  </si>
  <si>
    <t>Detalle del requerimiento</t>
  </si>
  <si>
    <t xml:space="preserve">Proceso </t>
  </si>
  <si>
    <t>%</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</si>
  <si>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</si>
  <si>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</si>
  <si>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</si>
  <si>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</si>
  <si>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</si>
  <si>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</si>
  <si>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</si>
  <si>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</si>
  <si>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</si>
  <si>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</si>
  <si>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</si>
  <si>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</si>
  <si>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</si>
  <si>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</si>
  <si>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</si>
  <si>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</si>
  <si>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</si>
  <si>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</si>
  <si>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</si>
  <si>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</si>
  <si>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</si>
  <si>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</si>
  <si>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</si>
  <si>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</si>
  <si>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</si>
  <si>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</si>
  <si>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</si>
  <si>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</si>
  <si>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</si>
  <si>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</si>
  <si>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</si>
  <si>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</si>
  <si>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</si>
  <si>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</si>
  <si>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</si>
  <si>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</si>
  <si>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</si>
  <si>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</si>
  <si>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</si>
  <si>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</si>
  <si>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</si>
  <si>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</si>
  <si>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</si>
  <si>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</si>
  <si>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</si>
  <si>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</si>
  <si>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</si>
  <si>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</si>
  <si>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</si>
  <si>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</si>
  <si>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</si>
  <si>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</si>
  <si>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</si>
  <si>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</si>
  <si>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</si>
  <si>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</si>
  <si>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</si>
  <si>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</si>
  <si>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</si>
  <si>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</si>
  <si>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</si>
  <si>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</si>
  <si>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</si>
  <si>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</si>
  <si>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</si>
  <si>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</si>
  <si>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</si>
  <si>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</si>
  <si>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</si>
  <si>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</si>
  <si>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</si>
  <si>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</si>
  <si>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</si>
  <si>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</si>
  <si>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</si>
  <si>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</si>
  <si>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</si>
  <si>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</si>
  <si>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</si>
  <si>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</si>
  <si>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</si>
  <si>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</si>
  <si>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</si>
  <si>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</si>
  <si>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</si>
  <si>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</si>
  <si>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</si>
  <si>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</si>
  <si>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</si>
  <si>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</si>
  <si>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</si>
  <si>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</si>
  <si>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</si>
  <si>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</si>
  <si>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</si>
  <si>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</si>
  <si>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</si>
  <si>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</si>
  <si>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</si>
  <si>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</si>
  <si>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</si>
  <si>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</si>
  <si>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</si>
  <si>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</si>
  <si>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</si>
  <si>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</si>
  <si>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</si>
  <si>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</si>
  <si>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</si>
  <si>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</si>
  <si>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</si>
  <si>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</si>
  <si>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</si>
  <si>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</si>
  <si>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</si>
  <si>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</si>
  <si>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</si>
  <si>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</si>
  <si>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</si>
  <si>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</si>
  <si>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</si>
  <si>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</si>
  <si>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</si>
  <si>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</si>
  <si>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</si>
  <si>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</si>
  <si>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</si>
  <si>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</si>
  <si>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</si>
  <si>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</si>
  <si>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</si>
  <si>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</si>
  <si>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</si>
  <si>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</si>
  <si>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</si>
  <si>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</si>
  <si>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</si>
  <si>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</si>
  <si>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</si>
  <si>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</si>
  <si>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</si>
  <si>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</si>
  <si>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</si>
  <si>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</si>
  <si>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</si>
  <si>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</si>
  <si>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</si>
  <si>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</si>
  <si>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</si>
  <si>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</si>
  <si>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</si>
  <si>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</si>
  <si>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</si>
  <si>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</si>
  <si>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</si>
  <si>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</si>
  <si>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</si>
  <si>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</si>
  <si>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</si>
  <si>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</si>
  <si>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</si>
  <si>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</si>
  <si>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</si>
  <si>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</si>
  <si>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</si>
  <si>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</si>
  <si>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</si>
  <si>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</si>
  <si>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</si>
  <si>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</si>
  <si>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</si>
  <si>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</si>
  <si>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</si>
  <si>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</si>
  <si>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</si>
  <si>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</si>
  <si>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</si>
  <si>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</si>
  <si>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</si>
  <si>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</si>
  <si>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</si>
  <si>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</si>
  <si>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</si>
  <si>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</si>
  <si>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</si>
  <si>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</si>
  <si>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</si>
  <si>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</si>
  <si>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</si>
  <si>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</si>
  <si>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</si>
  <si>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</si>
  <si>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</si>
  <si>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</si>
  <si>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</si>
  <si>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</si>
  <si>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</si>
  <si>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</si>
  <si>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</si>
  <si>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</si>
  <si>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</si>
  <si>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</si>
  <si>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</si>
  <si>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</si>
  <si>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</si>
  <si>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</si>
  <si>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</si>
  <si>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</si>
  <si>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</si>
  <si>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</si>
  <si>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</si>
  <si>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</si>
  <si>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</si>
  <si>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</si>
  <si>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</si>
  <si>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</si>
  <si>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</si>
  <si>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</si>
  <si>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</si>
  <si>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</si>
  <si>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</si>
  <si>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</si>
  <si>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</si>
  <si>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</si>
  <si>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</si>
  <si>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</si>
  <si>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</si>
  <si>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</si>
  <si>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</si>
  <si>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</si>
  <si>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</si>
  <si>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</si>
  <si>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</si>
  <si>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</si>
  <si>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</si>
  <si>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</si>
  <si>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</si>
  <si>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</si>
  <si>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</si>
  <si>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</si>
  <si>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</si>
  <si>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</si>
  <si>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</si>
  <si>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</si>
  <si>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</si>
  <si>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</si>
  <si>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</si>
  <si>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</si>
  <si>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</si>
  <si>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</si>
  <si>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</si>
  <si>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</si>
  <si>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</si>
  <si>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</si>
  <si>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</si>
  <si>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</si>
  <si>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</si>
  <si>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</si>
  <si>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</si>
  <si>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</si>
  <si>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</si>
  <si>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</si>
  <si>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</si>
  <si>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</si>
  <si>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</si>
  <si>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</si>
  <si>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</si>
  <si>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</si>
  <si>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</si>
  <si>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</si>
  <si>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</si>
  <si>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</si>
  <si>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</si>
  <si>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</si>
  <si>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</si>
  <si>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</si>
  <si>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</si>
  <si>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</si>
  <si>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</si>
  <si>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</si>
  <si>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</si>
  <si>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</si>
  <si>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</si>
  <si>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</si>
  <si>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</si>
  <si>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</si>
  <si>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</si>
  <si>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</si>
  <si>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</si>
  <si>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</si>
  <si>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</si>
  <si>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</si>
  <si>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</si>
  <si>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</si>
  <si>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</si>
  <si>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</si>
  <si>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</si>
  <si>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</si>
  <si>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</si>
  <si>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</si>
  <si>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</si>
  <si>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</si>
  <si>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</si>
  <si>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</si>
  <si>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</si>
  <si>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</si>
  <si>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</si>
  <si>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</si>
  <si>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</si>
  <si>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</si>
  <si>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</si>
  <si>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</si>
  <si>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</si>
  <si>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</si>
  <si>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</si>
  <si>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</si>
  <si>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</si>
  <si>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</si>
  <si>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</si>
  <si>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</si>
  <si>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</si>
  <si>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</si>
  <si>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</si>
  <si>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</si>
  <si>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</si>
  <si>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</si>
  <si>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</si>
  <si>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</si>
  <si>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</si>
  <si>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</si>
  <si>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</si>
  <si>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</si>
  <si>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</si>
  <si>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</si>
  <si>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</si>
  <si>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</si>
  <si>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</si>
  <si>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</si>
  <si>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</si>
  <si>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</si>
  <si>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</si>
  <si>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</si>
  <si>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</si>
  <si>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</si>
  <si>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</si>
  <si>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</si>
  <si>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</si>
  <si>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</si>
  <si>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</si>
  <si>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</si>
  <si>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
12/03/2026: Se finaliza desarrollo y se entrega para pruebas del cliente. Se proyecta paso a producciòn el sabado 15 de marzo</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</si>
  <si>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</si>
  <si>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</si>
  <si>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</si>
  <si>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</si>
  <si>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</si>
  <si>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</si>
  <si>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</si>
  <si>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</si>
  <si>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</si>
  <si>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</si>
  <si>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</si>
  <si>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</si>
  <si>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</si>
  <si>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</si>
  <si>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</si>
  <si>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</si>
  <si>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</si>
  <si>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</si>
  <si>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</si>
  <si>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</si>
  <si>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</si>
  <si>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</si>
  <si>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</si>
  <si>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</si>
  <si>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</si>
  <si>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</si>
  <si>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</si>
  <si>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</si>
  <si>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</si>
  <si>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</si>
  <si>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</si>
  <si>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</si>
  <si>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</si>
  <si>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</si>
  <si>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</si>
  <si>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</si>
  <si>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</si>
  <si>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</si>
  <si>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</si>
  <si>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</si>
  <si>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</si>
  <si>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</si>
  <si>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</si>
  <si>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</si>
  <si>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</si>
  <si>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</si>
  <si>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</si>
  <si>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</si>
  <si>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</si>
  <si>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</si>
  <si>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</si>
  <si>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</si>
  <si>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</si>
  <si>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</si>
  <si>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</si>
  <si>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</si>
  <si>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</si>
  <si>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</si>
  <si>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</si>
  <si>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</si>
  <si>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</si>
  <si>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</si>
  <si>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</si>
  <si>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
12/03/2026: El 16/02/2026 Se aplicaron los ajustes finales al módulo y se realizó el despliegue exitoso en el ambiente de producción.</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</si>
  <si>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</si>
  <si>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</si>
  <si>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</si>
  <si>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</si>
  <si>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</si>
  <si>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</si>
  <si>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</si>
  <si>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</si>
  <si>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</si>
  <si>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</si>
  <si>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PASO A PRODUCCION</t>
  </si>
  <si>
    <t>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12/03/2026: Se finaliza desarrollo y se entrega para pruebas del cliente. Se proyecta paso a producciòn el sabado 15 de marzo</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</si>
  <si>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</si>
  <si>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</si>
  <si>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</si>
  <si>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</si>
  <si>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</si>
  <si>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</si>
  <si>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</si>
  <si>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</si>
  <si>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</si>
  <si>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</si>
  <si>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</si>
  <si>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</si>
  <si>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SST_2025_023</t>
  </si>
  <si>
    <t>Plan de Trabajo ALFASST - Acreditación Profesionales</t>
  </si>
  <si>
    <t>Modificación en la acreditación de profesionales a las ordenes de servicio</t>
  </si>
  <si>
    <t>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12/03/2026: Pendiente definiciòn nuevas funcionalidades por parte del cliente</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</si>
  <si>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</si>
  <si>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</si>
  <si>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</si>
  <si>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</si>
  <si>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</si>
  <si>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</si>
  <si>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</si>
  <si>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</si>
  <si>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</si>
  <si>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</si>
  <si>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</si>
  <si>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</si>
  <si>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</si>
  <si>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</si>
  <si>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</si>
  <si>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</si>
  <si>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</si>
  <si>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</si>
  <si>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</si>
  <si>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</si>
  <si>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</si>
  <si>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</si>
  <si>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</si>
  <si>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</si>
  <si>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</si>
  <si>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</si>
  <si>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</si>
  <si>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</si>
  <si>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</si>
  <si>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</si>
  <si>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</si>
  <si>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</si>
  <si>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</si>
  <si>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</si>
  <si>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</si>
  <si>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</si>
  <si>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</si>
  <si>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</si>
  <si>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</si>
  <si>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</si>
  <si>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</si>
  <si>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</si>
  <si>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</si>
  <si>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</si>
  <si>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SST_2025_029</t>
  </si>
  <si>
    <t>Plan de Trabajo ALFASST - Ordenes de Servicio</t>
  </si>
  <si>
    <t>Tarea Programada de Agendamiento.</t>
  </si>
  <si>
    <t>02/03/2026 - 03/03/2026: Desarrollo del proceso automático para la generación masiva de órdenes de servicio, sincronizada con la agenda programada.</t>
  </si>
  <si>
    <t>SST_2025_030</t>
  </si>
  <si>
    <t>Plan de Trabajo ALFASST - Optimización Integral (CRUD)</t>
  </si>
  <si>
    <t>Creación, Edición, Modificación y Eliminación</t>
  </si>
  <si>
    <t>04/03/2026: Fortalecimiento de procesos (Creación, Edición, Modificación y Eliminación). Ajuste de lógica para permitir la edición de planes cuando no existan agendas previas.</t>
  </si>
  <si>
    <t>SST_2025_031</t>
  </si>
  <si>
    <t>Plan de Trabajo ALFASST - Asignación actividades</t>
  </si>
  <si>
    <t>Mejora Visual de Asignación.</t>
  </si>
  <si>
    <t>04/03/2026: Optimización de la interfaz (UI) para la asignación de actividades, facilitando la gestión visual.</t>
  </si>
  <si>
    <t>PRV_2025_048</t>
  </si>
  <si>
    <t>Reservas</t>
  </si>
  <si>
    <t>Nuevo Módulo de Carga (Reservas).</t>
  </si>
  <si>
    <t>03/03/2026 al 05/03/2026: Creación del módulo para carga masiva de reservas con formatos específicos. Se implementó un reporte dinámico para exportar información por tipo de formato.</t>
  </si>
  <si>
    <t>PRV_2025_049</t>
  </si>
  <si>
    <t>Optimización de Importación Masiva.</t>
  </si>
  <si>
    <t>05/03/2026: Se eliminó el conteo de registros en caliente al adjuntar archivos, logrando una carga mucho más rápida y eficiente.</t>
  </si>
  <si>
    <t>PRV_2025_050</t>
  </si>
  <si>
    <t>06/03/2026: Pruebas finales para validar las mejoras, asegurando que la calidad de la información cumpla con las necesidades operativas de la unidad.</t>
  </si>
  <si>
    <t>SST_2025_032</t>
  </si>
  <si>
    <t>Optimización Visual y UX</t>
  </si>
  <si>
    <t>09/03/2026 - 10/03/2026: Refacción completa del diseño en la interfaz de asignación de actividades.</t>
  </si>
  <si>
    <t>SST_2025_033</t>
  </si>
  <si>
    <t>Plan de Trabajo ALFASST - Reportes</t>
  </si>
  <si>
    <t>Reportes Dinámicos por Períodos</t>
  </si>
  <si>
    <t>11/03/2026: Funcionalidad para visualizar flujo de órdenes totales vs. agendadas por prefijos.</t>
  </si>
  <si>
    <t>SST_2025_034</t>
  </si>
  <si>
    <t>Plan de Trabajo ALFASST - Trazabilidad</t>
  </si>
  <si>
    <t>Trazabilidad en Calendario (Dashboard).</t>
  </si>
  <si>
    <t>12/03/2026: Acción directa en el calendario para visualizar órdenes ejecutadas, generadas y sus valores.</t>
  </si>
  <si>
    <t>PRV_2025_051</t>
  </si>
  <si>
    <t>Anexo 1 - Formatos</t>
  </si>
  <si>
    <t>Ajuste en Formato de Cálculos</t>
  </si>
  <si>
    <t>12/03/2026: Adición de 7 campos nuevos al formato. Se ajustó el proceso de carga masiva a bloques de 500 registros (procesados de 100 en 100) para garantizar la estabilidad.</t>
  </si>
  <si>
    <t>PRV_2025_052</t>
  </si>
  <si>
    <t>Plantillas Point</t>
  </si>
  <si>
    <t>Ajuste en Data de Recuperación</t>
  </si>
  <si>
    <t>13/03/2026: Actualización técnica en el módulo de plantillas para optimizar el procesamiento de los datos de recuperación.</t>
  </si>
  <si>
    <t>Img_2025_037</t>
  </si>
  <si>
    <t>Incidencia en Servidor On-Premise (Producción)</t>
  </si>
  <si>
    <t>Gestión de Incidencias</t>
  </si>
  <si>
    <t xml:space="preserve">12/03/2026: Afectación en los archivos de base de datos del servidor on-premise (independiente a la infraestructura de Alfa). Se notificó al área tecnológica de Alfa para la restauración de servicios.
Resultado: Servicio restablecido exitosamente sin pérdida de información.
Nota: La infraestructura de Alfas y el entorno de pruebas se mantuvieron estables y operativos.
</t>
  </si>
  <si>
    <t>SST_2025_035</t>
  </si>
  <si>
    <t>Despliegue en Servidor de Pruebas</t>
  </si>
  <si>
    <t>Despliegue y QA</t>
  </si>
  <si>
    <t>12/03/2026: Despliegue de nuevas funcionalidades del Plan de Trabajo en el entorno de pruebas para validación final</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</si>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</sst>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18">
    <font>
      <sz val="12"/>
      <color theme="1"/>
      <name val="Quattrocento Sans"/>
      <scheme val="minor"/>
    </font>
    <font>
      <b/>
      <u/>
      <sz val="9"/>
      <color theme="1"/>
      <name val="Quattrocento Sans"/>
    </font>
    <font>
      <b/>
      <u/>
      <sz val="10"/>
      <color theme="1"/>
      <name val="Quattrocento Sans"/>
    </font>
    <font>
      <u/>
      <sz val="11"/>
      <color theme="1"/>
      <name val="Quattrocento Sans"/>
    </font>
    <font>
      <b/>
      <sz val="10"/>
      <color theme="1"/>
      <name val="Quattrocento Sans"/>
    </font>
    <font>
      <b/>
      <sz val="8"/>
      <color theme="1"/>
      <name val="Quattrocento Sans"/>
    </font>
    <font>
      <b/>
      <u/>
      <sz val="9"/>
      <color theme="1"/>
      <name val="Quattrocento Sans"/>
    </font>
    <font>
      <u/>
      <sz val="11"/>
      <color theme="1"/>
      <name val="Quattrocento Sans"/>
    </font>
    <font>
      <u/>
      <sz val="10"/>
      <color theme="1"/>
      <name val="Quattrocento Sans"/>
    </font>
    <font>
      <sz val="10"/>
      <color theme="1"/>
      <name val="Quattrocento Sans"/>
    </font>
    <font>
      <sz val="12"/>
      <color theme="1"/>
      <name val="Quattrocento Sans"/>
      <scheme val="minor"/>
    </font>
    <font>
      <sz val="12"/>
      <color rgb="FF000000"/>
      <name val="&quot;Quattrocento Sans&quot;"/>
    </font>
    <font>
      <u/>
      <sz val="10"/>
      <color theme="1"/>
      <name val="Quattrocento Sans"/>
    </font>
    <font>
      <b/>
      <sz val="9"/>
      <color theme="1"/>
      <name val="Quattrocento Sans"/>
    </font>
    <font>
      <b/>
      <sz val="12"/>
      <color theme="1"/>
      <name val="Quattrocento Sans"/>
      <scheme val="minor"/>
    </font>
    <font>
      <sz val="11"/>
      <color theme="1"/>
      <name val="Quattrocento Sans"/>
    </font>
    <font>
      <u/>
      <sz val="12"/>
      <color rgb="FF000000"/>
      <name val="&quot;Quattrocento Sans&quot;"/>
    </font>
    <font>
      <sz val="10"/>
      <color rgb="FF000000"/>
      <name val="&quot;Quattrocento Sans&quot;"/>
    </font>
    <font>
      <b/>
      <sz val="11"/>
      <color theme="1"/>
      <name val="Quattrocento Sans"/>
    </font>
    <font>
      <u/>
      <sz val="11"/>
      <color theme="1"/>
      <name val="Quattrocento Sans"/>
    </font>
    <font>
      <u/>
      <sz val="10"/>
      <color theme="1"/>
      <name val="Quattrocento Sans"/>
    </font>
    <font>
      <b/>
      <u/>
      <sz val="12"/>
      <color rgb="FFFFFFFF"/>
      <name val="Quattrocento Sans"/>
    </font>
    <font>
      <u/>
      <sz val="10"/>
      <color theme="1"/>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1"/>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sz val="12"/>
      <color theme="1"/>
      <name val="&quot;Calibri&quot;"/>
    </font>
    <font>
      <sz val="12"/>
      <color rgb="FF434343"/>
      <name val="Calibri"/>
    </font>
    <font>
      <sz val="9"/>
      <color theme="1"/>
      <name val="Roboto"/>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18">
    <fill>
      <patternFill patternType="none"/>
    </fill>
    <fill>
      <patternFill patternType="gray125"/>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28">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719">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center" vertical="center"/>
    </xf>
    <xf numFmtId="49" fontId="5" fillId="0" borderId="0" xfId="0" applyNumberFormat="1" applyFont="1" applyAlignment="1">
      <alignment horizontal="center" vertical="center" wrapText="1"/>
    </xf>
    <xf numFmtId="0" fontId="4" fillId="0" borderId="0" xfId="0" applyFont="1" applyAlignment="1">
      <alignment horizontal="center" vertical="center"/>
    </xf>
    <xf numFmtId="0" fontId="4" fillId="0" borderId="0" xfId="0" applyFont="1" applyAlignment="1">
      <alignment horizontal="center" vertical="center" wrapText="1"/>
    </xf>
    <xf numFmtId="14" fontId="4" fillId="0" borderId="0" xfId="0" applyNumberFormat="1" applyFont="1" applyAlignment="1">
      <alignment horizontal="center" vertical="top"/>
    </xf>
    <xf numFmtId="0" fontId="4" fillId="0" borderId="0" xfId="0" applyFont="1" applyAlignment="1">
      <alignment horizontal="center" vertical="top" wrapText="1"/>
    </xf>
    <xf numFmtId="0" fontId="6" fillId="3" borderId="1" xfId="0" applyFont="1" applyFill="1" applyBorder="1" applyAlignment="1">
      <alignment horizontal="center" vertical="center" wrapText="1"/>
    </xf>
    <xf numFmtId="0" fontId="7" fillId="3" borderId="1" xfId="0" applyFont="1" applyFill="1" applyBorder="1" applyAlignment="1">
      <alignment horizontal="left" vertical="center" wrapText="1"/>
    </xf>
    <xf numFmtId="0" fontId="8" fillId="3" borderId="1" xfId="0" applyFont="1" applyFill="1" applyBorder="1" applyAlignment="1">
      <alignment vertical="center" wrapText="1"/>
    </xf>
    <xf numFmtId="0" fontId="9" fillId="3" borderId="1" xfId="0" applyFont="1" applyFill="1" applyBorder="1" applyAlignment="1">
      <alignment horizontal="center" vertical="center" wrapText="1"/>
    </xf>
    <xf numFmtId="164" fontId="9" fillId="3" borderId="1" xfId="0" applyNumberFormat="1" applyFont="1" applyFill="1" applyBorder="1" applyAlignment="1">
      <alignment vertical="center" wrapText="1"/>
    </xf>
    <xf numFmtId="165" fontId="9" fillId="3" borderId="1" xfId="0" applyNumberFormat="1" applyFont="1" applyFill="1" applyBorder="1" applyAlignment="1">
      <alignment vertical="center" wrapText="1"/>
    </xf>
    <xf numFmtId="165" fontId="4" fillId="3" borderId="1" xfId="0" applyNumberFormat="1" applyFont="1" applyFill="1" applyBorder="1" applyAlignment="1">
      <alignment vertical="center"/>
    </xf>
    <xf numFmtId="165" fontId="9" fillId="3" borderId="1" xfId="0" applyNumberFormat="1" applyFont="1" applyFill="1" applyBorder="1" applyAlignment="1">
      <alignment vertical="center" wrapText="1"/>
    </xf>
    <xf numFmtId="14" fontId="4" fillId="3" borderId="1" xfId="0" applyNumberFormat="1" applyFont="1" applyFill="1" applyBorder="1" applyAlignment="1">
      <alignment vertical="center"/>
    </xf>
    <xf numFmtId="0" fontId="9" fillId="3" borderId="1" xfId="0" applyFont="1" applyFill="1" applyBorder="1" applyAlignment="1">
      <alignment horizontal="left" vertical="top"/>
    </xf>
    <xf numFmtId="14" fontId="9" fillId="3" borderId="1" xfId="0" applyNumberFormat="1" applyFont="1" applyFill="1" applyBorder="1" applyAlignment="1">
      <alignment horizontal="center" vertical="center" wrapText="1"/>
    </xf>
    <xf numFmtId="0" fontId="9" fillId="3" borderId="1" xfId="0" applyFont="1" applyFill="1" applyBorder="1" applyAlignment="1">
      <alignment horizontal="left" vertical="top"/>
    </xf>
    <xf numFmtId="0" fontId="9" fillId="3" borderId="0" xfId="0" applyFont="1" applyFill="1" applyAlignment="1">
      <alignment horizontal="left" vertical="top"/>
    </xf>
    <xf numFmtId="0" fontId="9" fillId="3" borderId="0" xfId="0" applyFont="1" applyFill="1" applyAlignment="1">
      <alignment horizontal="left" vertical="top"/>
    </xf>
    <xf numFmtId="0" fontId="4" fillId="3" borderId="1" xfId="0" applyFont="1" applyFill="1" applyBorder="1" applyAlignment="1">
      <alignment horizontal="left" vertical="top"/>
    </xf>
    <xf numFmtId="1" fontId="9" fillId="3" borderId="1" xfId="0" applyNumberFormat="1" applyFont="1" applyFill="1" applyBorder="1" applyAlignment="1">
      <alignment horizontal="center" vertical="center" wrapText="1"/>
    </xf>
    <xf numFmtId="0" fontId="4" fillId="3" borderId="1" xfId="0" applyFont="1" applyFill="1" applyBorder="1" applyAlignment="1">
      <alignment horizontal="left" vertical="top"/>
    </xf>
    <xf numFmtId="165" fontId="11" fillId="3" borderId="1" xfId="0" applyNumberFormat="1" applyFont="1" applyFill="1" applyBorder="1" applyAlignment="1">
      <alignment horizontal="right" vertical="center"/>
    </xf>
    <xf numFmtId="164" fontId="9" fillId="3" borderId="1" xfId="0" applyNumberFormat="1" applyFont="1" applyFill="1" applyBorder="1" applyAlignment="1">
      <alignment vertical="center" wrapText="1"/>
    </xf>
    <xf numFmtId="0" fontId="4" fillId="3" borderId="1" xfId="0" applyFont="1" applyFill="1" applyBorder="1" applyAlignment="1">
      <alignment horizontal="left" vertical="top" wrapText="1"/>
    </xf>
    <xf numFmtId="165" fontId="4" fillId="3" borderId="1" xfId="0" applyNumberFormat="1" applyFont="1" applyFill="1" applyBorder="1" applyAlignment="1">
      <alignment vertical="center"/>
    </xf>
    <xf numFmtId="14" fontId="9" fillId="3" borderId="1" xfId="0" applyNumberFormat="1" applyFont="1" applyFill="1" applyBorder="1" applyAlignment="1">
      <alignment horizontal="left" vertical="top"/>
    </xf>
    <xf numFmtId="0" fontId="9" fillId="3" borderId="1" xfId="0" applyFont="1" applyFill="1" applyBorder="1" applyAlignment="1">
      <alignment horizontal="center" vertical="center"/>
    </xf>
    <xf numFmtId="164" fontId="9" fillId="3" borderId="1" xfId="0" applyNumberFormat="1" applyFont="1" applyFill="1" applyBorder="1" applyAlignment="1">
      <alignment vertical="center"/>
    </xf>
    <xf numFmtId="165" fontId="9" fillId="3" borderId="1" xfId="0" applyNumberFormat="1" applyFont="1" applyFill="1" applyBorder="1" applyAlignment="1">
      <alignment vertical="center"/>
    </xf>
    <xf numFmtId="14" fontId="9" fillId="3" borderId="1" xfId="0" applyNumberFormat="1" applyFont="1" applyFill="1" applyBorder="1" applyAlignment="1">
      <alignment vertical="center"/>
    </xf>
    <xf numFmtId="0" fontId="9" fillId="3" borderId="1" xfId="0" applyFont="1" applyFill="1" applyBorder="1" applyAlignment="1">
      <alignment vertical="center" wrapText="1"/>
    </xf>
    <xf numFmtId="0" fontId="9" fillId="3" borderId="1" xfId="0" applyFont="1" applyFill="1" applyBorder="1" applyAlignment="1">
      <alignment vertical="center" wrapText="1"/>
    </xf>
    <xf numFmtId="165" fontId="9" fillId="3" borderId="1" xfId="0" applyNumberFormat="1" applyFont="1" applyFill="1" applyBorder="1" applyAlignment="1">
      <alignment vertical="center"/>
    </xf>
    <xf numFmtId="14" fontId="9" fillId="3" borderId="1" xfId="0" applyNumberFormat="1" applyFont="1" applyFill="1" applyBorder="1" applyAlignment="1">
      <alignment vertical="center"/>
    </xf>
    <xf numFmtId="0" fontId="9" fillId="3" borderId="1" xfId="0" applyFont="1" applyFill="1" applyBorder="1" applyAlignment="1">
      <alignment horizontal="center" vertical="center"/>
    </xf>
    <xf numFmtId="0" fontId="9" fillId="3" borderId="1" xfId="0" applyFont="1" applyFill="1" applyBorder="1" applyAlignment="1">
      <alignment vertical="center"/>
    </xf>
    <xf numFmtId="0" fontId="9" fillId="3" borderId="1" xfId="0" applyFont="1" applyFill="1" applyBorder="1" applyAlignment="1">
      <alignment vertical="center"/>
    </xf>
    <xf numFmtId="164" fontId="9" fillId="3" borderId="1" xfId="0" applyNumberFormat="1" applyFont="1" applyFill="1" applyBorder="1" applyAlignment="1">
      <alignment vertical="center"/>
    </xf>
    <xf numFmtId="0" fontId="12" fillId="3" borderId="1" xfId="0" applyFont="1" applyFill="1" applyBorder="1" applyAlignment="1">
      <alignment vertical="center"/>
    </xf>
    <xf numFmtId="0" fontId="9" fillId="3" borderId="1" xfId="0" applyFont="1" applyFill="1" applyBorder="1" applyAlignment="1">
      <alignment horizontal="left" vertical="top" wrapText="1"/>
    </xf>
    <xf numFmtId="0" fontId="9" fillId="3" borderId="1" xfId="0" applyFont="1" applyFill="1" applyBorder="1" applyAlignment="1">
      <alignment horizontal="left" vertical="top" wrapText="1"/>
    </xf>
    <xf numFmtId="0" fontId="9" fillId="3" borderId="0" xfId="0" applyFont="1" applyFill="1" applyAlignment="1">
      <alignment horizontal="left" vertical="top" wrapText="1"/>
    </xf>
    <xf numFmtId="14" fontId="9" fillId="3" borderId="1" xfId="0" applyNumberFormat="1" applyFont="1" applyFill="1" applyBorder="1" applyAlignment="1">
      <alignment vertical="center"/>
    </xf>
    <xf numFmtId="0" fontId="9" fillId="3" borderId="1" xfId="0" applyFont="1" applyFill="1" applyBorder="1" applyAlignment="1">
      <alignment horizontal="left" vertical="top"/>
    </xf>
    <xf numFmtId="0" fontId="9" fillId="3" borderId="0" xfId="0" applyFont="1" applyFill="1" applyAlignment="1">
      <alignment horizontal="left" vertical="top"/>
    </xf>
    <xf numFmtId="0" fontId="15" fillId="3" borderId="1" xfId="0" applyFont="1" applyFill="1" applyBorder="1" applyAlignment="1">
      <alignment horizontal="left" vertical="center" wrapText="1"/>
    </xf>
    <xf numFmtId="0" fontId="9" fillId="3" borderId="1" xfId="0" applyFont="1" applyFill="1" applyBorder="1" applyAlignment="1">
      <alignment vertical="center" wrapText="1"/>
    </xf>
    <xf numFmtId="0" fontId="9" fillId="3" borderId="1" xfId="0" applyFont="1" applyFill="1" applyBorder="1" applyAlignment="1">
      <alignment vertical="center" wrapText="1"/>
    </xf>
    <xf numFmtId="0" fontId="16" fillId="3" borderId="2" xfId="0" applyFont="1" applyFill="1" applyBorder="1" applyAlignment="1">
      <alignment vertical="center"/>
    </xf>
    <xf numFmtId="0" fontId="11" fillId="3" borderId="1" xfId="0" applyFont="1" applyFill="1" applyBorder="1" applyAlignment="1">
      <alignment horizontal="center" vertical="center"/>
    </xf>
    <xf numFmtId="164" fontId="17" fillId="3" borderId="1" xfId="0" applyNumberFormat="1" applyFont="1" applyFill="1" applyBorder="1" applyAlignment="1">
      <alignment horizontal="right" vertical="center"/>
    </xf>
    <xf numFmtId="14" fontId="9" fillId="3" borderId="1" xfId="0" applyNumberFormat="1" applyFont="1" applyFill="1" applyBorder="1" applyAlignment="1">
      <alignment horizontal="center" vertical="center"/>
    </xf>
    <xf numFmtId="0" fontId="10" fillId="0" borderId="1" xfId="0" applyFont="1" applyBorder="1" applyAlignment="1">
      <alignment vertical="center"/>
    </xf>
    <xf numFmtId="164" fontId="10" fillId="0" borderId="1" xfId="0" applyNumberFormat="1" applyFont="1" applyBorder="1" applyAlignment="1">
      <alignment vertical="center"/>
    </xf>
    <xf numFmtId="0" fontId="19" fillId="0" borderId="1" xfId="0" applyFont="1" applyBorder="1" applyAlignment="1">
      <alignment horizontal="left" vertical="center" wrapText="1"/>
    </xf>
    <xf numFmtId="0" fontId="9" fillId="3" borderId="1" xfId="0" applyFont="1" applyFill="1" applyBorder="1" applyAlignment="1">
      <alignment horizontal="left" vertical="top" wrapText="1"/>
    </xf>
    <xf numFmtId="49" fontId="20" fillId="5" borderId="0" xfId="0" applyNumberFormat="1" applyFont="1" applyFill="1" applyAlignment="1">
      <alignment horizontal="center" vertical="center" wrapText="1"/>
    </xf>
    <xf numFmtId="49" fontId="21" fillId="6" borderId="3" xfId="0" applyNumberFormat="1" applyFont="1" applyFill="1" applyBorder="1" applyAlignment="1">
      <alignment horizontal="center" vertical="center"/>
    </xf>
    <xf numFmtId="0" fontId="22" fillId="0" borderId="0" xfId="0" applyFont="1" applyAlignment="1">
      <alignment horizontal="center" vertical="center" wrapText="1"/>
    </xf>
    <xf numFmtId="49" fontId="23" fillId="2" borderId="0" xfId="0" applyNumberFormat="1" applyFont="1" applyFill="1" applyAlignment="1">
      <alignment horizontal="center" vertical="center" wrapText="1"/>
    </xf>
    <xf numFmtId="0" fontId="4" fillId="5" borderId="0" xfId="0" applyFont="1" applyFill="1" applyAlignment="1">
      <alignment horizontal="center" vertical="top" wrapText="1"/>
    </xf>
    <xf numFmtId="0" fontId="24" fillId="3" borderId="1" xfId="0" applyFont="1" applyFill="1" applyBorder="1" applyAlignment="1">
      <alignment horizontal="center" vertical="center" wrapText="1"/>
    </xf>
    <xf numFmtId="0" fontId="25" fillId="3" borderId="1" xfId="0" applyFont="1" applyFill="1" applyBorder="1" applyAlignment="1">
      <alignment vertical="center" wrapText="1"/>
    </xf>
    <xf numFmtId="0" fontId="26" fillId="3" borderId="1" xfId="0" applyFont="1" applyFill="1" applyBorder="1" applyAlignment="1">
      <alignment horizontal="center" vertical="center" wrapText="1"/>
    </xf>
    <xf numFmtId="0" fontId="4" fillId="3" borderId="1" xfId="0" applyFont="1" applyFill="1" applyBorder="1" applyAlignment="1">
      <alignment horizontal="center" vertical="center"/>
    </xf>
    <xf numFmtId="164" fontId="10" fillId="0" borderId="1" xfId="0" applyNumberFormat="1" applyFont="1" applyBorder="1" applyAlignment="1">
      <alignment vertical="center"/>
    </xf>
    <xf numFmtId="14" fontId="4" fillId="3" borderId="1" xfId="0" applyNumberFormat="1" applyFont="1" applyFill="1" applyBorder="1" applyAlignment="1">
      <alignment vertical="center"/>
    </xf>
    <xf numFmtId="0" fontId="9" fillId="3" borderId="1" xfId="0" applyFont="1" applyFill="1" applyBorder="1" applyAlignment="1">
      <alignment horizontal="left"/>
    </xf>
    <xf numFmtId="49" fontId="27" fillId="3" borderId="1" xfId="0" applyNumberFormat="1" applyFont="1" applyFill="1" applyBorder="1" applyAlignment="1">
      <alignment vertical="center" wrapText="1"/>
    </xf>
    <xf numFmtId="0" fontId="28" fillId="0" borderId="1" xfId="0" applyFont="1" applyBorder="1" applyAlignment="1">
      <alignment horizontal="left" vertical="center" wrapText="1"/>
    </xf>
    <xf numFmtId="0" fontId="29" fillId="3" borderId="1" xfId="0" applyFont="1" applyFill="1" applyBorder="1" applyAlignment="1">
      <alignment vertical="center" wrapText="1"/>
    </xf>
    <xf numFmtId="0" fontId="30" fillId="3" borderId="1" xfId="0" applyFont="1" applyFill="1" applyBorder="1" applyAlignment="1">
      <alignment vertical="center" wrapText="1"/>
    </xf>
    <xf numFmtId="0" fontId="31" fillId="3" borderId="1" xfId="0" applyFont="1" applyFill="1" applyBorder="1" applyAlignment="1">
      <alignment horizontal="center" vertical="center"/>
    </xf>
    <xf numFmtId="0" fontId="32" fillId="0" borderId="1" xfId="0" applyFont="1" applyBorder="1" applyAlignment="1">
      <alignment horizontal="left" vertical="center" wrapText="1"/>
    </xf>
    <xf numFmtId="165" fontId="4" fillId="3" borderId="1" xfId="0" applyNumberFormat="1" applyFont="1" applyFill="1" applyBorder="1" applyAlignment="1">
      <alignment vertical="center" wrapText="1"/>
    </xf>
    <xf numFmtId="0" fontId="33" fillId="3" borderId="1" xfId="0" applyFont="1" applyFill="1" applyBorder="1" applyAlignment="1">
      <alignment horizontal="center" vertical="center"/>
    </xf>
    <xf numFmtId="0" fontId="34" fillId="0" borderId="1" xfId="0" applyFont="1" applyBorder="1" applyAlignment="1">
      <alignment horizontal="left" vertical="center"/>
    </xf>
    <xf numFmtId="0" fontId="35" fillId="3" borderId="1" xfId="0" applyFont="1" applyFill="1" applyBorder="1" applyAlignment="1">
      <alignment horizontal="center" vertical="center"/>
    </xf>
    <xf numFmtId="0" fontId="9" fillId="3" borderId="1" xfId="0" applyFont="1" applyFill="1" applyBorder="1" applyAlignment="1">
      <alignment vertical="center"/>
    </xf>
    <xf numFmtId="164" fontId="4" fillId="3" borderId="1" xfId="0" applyNumberFormat="1" applyFont="1" applyFill="1" applyBorder="1" applyAlignment="1">
      <alignment vertical="center"/>
    </xf>
    <xf numFmtId="0" fontId="4" fillId="3" borderId="1" xfId="0" applyFont="1" applyFill="1" applyBorder="1" applyAlignment="1">
      <alignment horizontal="left" vertical="top" wrapText="1"/>
    </xf>
    <xf numFmtId="0" fontId="15" fillId="0" borderId="1" xfId="0" applyFont="1" applyBorder="1" applyAlignment="1">
      <alignment horizontal="left" vertical="center"/>
    </xf>
    <xf numFmtId="0" fontId="9" fillId="3" borderId="1" xfId="0" applyFont="1" applyFill="1" applyBorder="1" applyAlignment="1">
      <alignment vertical="center" wrapText="1"/>
    </xf>
    <xf numFmtId="0" fontId="36" fillId="3" borderId="1" xfId="0" applyFont="1" applyFill="1" applyBorder="1" applyAlignment="1">
      <alignment horizontal="center" vertical="center"/>
    </xf>
    <xf numFmtId="0" fontId="4" fillId="3" borderId="1" xfId="0" applyFont="1" applyFill="1" applyBorder="1" applyAlignment="1">
      <alignment horizontal="left" vertical="top" wrapText="1"/>
    </xf>
    <xf numFmtId="0" fontId="37" fillId="0" borderId="1" xfId="0" applyFont="1" applyBorder="1" applyAlignment="1">
      <alignment horizontal="left" vertical="center"/>
    </xf>
    <xf numFmtId="0" fontId="9" fillId="3" borderId="1" xfId="0" applyFont="1" applyFill="1" applyBorder="1" applyAlignment="1">
      <alignment vertical="top"/>
    </xf>
    <xf numFmtId="0" fontId="9" fillId="3" borderId="1" xfId="0" applyFont="1" applyFill="1" applyBorder="1" applyAlignment="1">
      <alignment vertical="top"/>
    </xf>
    <xf numFmtId="0" fontId="38" fillId="3" borderId="1" xfId="0" applyFont="1" applyFill="1" applyBorder="1" applyAlignment="1">
      <alignment horizontal="center" vertical="center" wrapText="1"/>
    </xf>
    <xf numFmtId="0" fontId="9" fillId="3" borderId="1" xfId="0" applyFont="1" applyFill="1" applyBorder="1" applyAlignment="1">
      <alignment vertical="center"/>
    </xf>
    <xf numFmtId="0" fontId="39" fillId="4" borderId="1" xfId="0" applyFont="1" applyFill="1" applyBorder="1" applyAlignment="1">
      <alignment horizontal="center" vertical="center" wrapText="1"/>
    </xf>
    <xf numFmtId="0" fontId="40" fillId="3" borderId="1" xfId="0" applyFont="1" applyFill="1" applyBorder="1" applyAlignment="1">
      <alignment horizontal="center" vertical="center" wrapText="1"/>
    </xf>
    <xf numFmtId="0" fontId="41" fillId="3" borderId="1" xfId="0" applyFont="1" applyFill="1" applyBorder="1" applyAlignment="1">
      <alignment vertical="center"/>
    </xf>
    <xf numFmtId="0" fontId="42" fillId="0" borderId="2" xfId="0" applyFont="1" applyBorder="1" applyAlignment="1">
      <alignment horizontal="left" vertical="top" wrapText="1"/>
    </xf>
    <xf numFmtId="0" fontId="43" fillId="3" borderId="2" xfId="0" applyFont="1" applyFill="1" applyBorder="1" applyAlignment="1">
      <alignment vertical="center"/>
    </xf>
    <xf numFmtId="0" fontId="44" fillId="3" borderId="2" xfId="0" applyFont="1" applyFill="1" applyBorder="1" applyAlignment="1">
      <alignment vertical="center"/>
    </xf>
    <xf numFmtId="0" fontId="45" fillId="3" borderId="1" xfId="0" applyFont="1" applyFill="1" applyBorder="1" applyAlignment="1">
      <alignment vertical="center"/>
    </xf>
    <xf numFmtId="0" fontId="46" fillId="3" borderId="1" xfId="0" applyFont="1" applyFill="1" applyBorder="1" applyAlignment="1">
      <alignment vertical="center"/>
    </xf>
    <xf numFmtId="0" fontId="47" fillId="3" borderId="1" xfId="0" applyFont="1" applyFill="1" applyBorder="1" applyAlignment="1">
      <alignment vertical="center"/>
    </xf>
    <xf numFmtId="164" fontId="4" fillId="3" borderId="1" xfId="0" applyNumberFormat="1" applyFont="1" applyFill="1" applyBorder="1" applyAlignment="1">
      <alignment vertical="center"/>
    </xf>
    <xf numFmtId="0" fontId="48" fillId="3" borderId="1" xfId="0" applyFont="1" applyFill="1" applyBorder="1" applyAlignment="1">
      <alignment horizontal="center" vertical="center" wrapText="1"/>
    </xf>
    <xf numFmtId="0" fontId="49" fillId="3" borderId="1" xfId="0" applyFont="1" applyFill="1" applyBorder="1" applyAlignment="1">
      <alignment horizontal="center" vertical="center" wrapText="1"/>
    </xf>
    <xf numFmtId="0" fontId="50" fillId="7" borderId="1" xfId="0" applyFont="1" applyFill="1" applyBorder="1" applyAlignment="1">
      <alignment vertical="center"/>
    </xf>
    <xf numFmtId="0" fontId="51" fillId="3" borderId="1" xfId="0" applyFont="1" applyFill="1" applyBorder="1" applyAlignment="1">
      <alignment vertical="center"/>
    </xf>
    <xf numFmtId="0" fontId="52" fillId="7" borderId="1" xfId="0" applyFont="1" applyFill="1" applyBorder="1" applyAlignment="1">
      <alignment horizontal="center" vertical="center" wrapText="1"/>
    </xf>
    <xf numFmtId="0" fontId="53" fillId="3" borderId="1" xfId="0" applyFont="1" applyFill="1" applyBorder="1" applyAlignment="1">
      <alignment vertical="center"/>
    </xf>
    <xf numFmtId="0" fontId="54" fillId="3" borderId="1" xfId="0" applyFont="1" applyFill="1" applyBorder="1" applyAlignment="1">
      <alignment horizontal="center" vertical="center"/>
    </xf>
    <xf numFmtId="164" fontId="54" fillId="3" borderId="1" xfId="0" applyNumberFormat="1" applyFont="1" applyFill="1" applyBorder="1" applyAlignment="1">
      <alignment horizontal="right" vertical="center"/>
    </xf>
    <xf numFmtId="165" fontId="54" fillId="3" borderId="1" xfId="0" applyNumberFormat="1" applyFont="1" applyFill="1" applyBorder="1" applyAlignment="1">
      <alignment horizontal="right" vertical="center"/>
    </xf>
    <xf numFmtId="164" fontId="51" fillId="3" borderId="1" xfId="0" applyNumberFormat="1" applyFont="1" applyFill="1" applyBorder="1" applyAlignment="1">
      <alignment vertical="center"/>
    </xf>
    <xf numFmtId="14" fontId="51" fillId="3" borderId="1" xfId="0" applyNumberFormat="1" applyFont="1" applyFill="1" applyBorder="1" applyAlignment="1">
      <alignment vertical="center"/>
    </xf>
    <xf numFmtId="0" fontId="54" fillId="7" borderId="1" xfId="0" applyFont="1" applyFill="1" applyBorder="1" applyAlignment="1">
      <alignment vertical="top"/>
    </xf>
    <xf numFmtId="49" fontId="55" fillId="7" borderId="1" xfId="0" applyNumberFormat="1" applyFont="1" applyFill="1" applyBorder="1" applyAlignment="1">
      <alignment vertical="center" wrapText="1"/>
    </xf>
    <xf numFmtId="0" fontId="51" fillId="7" borderId="1" xfId="0" applyFont="1" applyFill="1" applyBorder="1" applyAlignment="1">
      <alignment vertical="top"/>
    </xf>
    <xf numFmtId="0" fontId="56" fillId="3" borderId="1" xfId="0" applyFont="1" applyFill="1" applyBorder="1" applyAlignment="1">
      <alignment vertical="center"/>
    </xf>
    <xf numFmtId="165" fontId="57" fillId="7" borderId="1" xfId="0" applyNumberFormat="1" applyFont="1" applyFill="1" applyBorder="1" applyAlignment="1">
      <alignment horizontal="right" vertical="center"/>
    </xf>
    <xf numFmtId="0" fontId="57" fillId="7" borderId="1" xfId="0" applyFont="1" applyFill="1" applyBorder="1" applyAlignment="1">
      <alignment vertical="top"/>
    </xf>
    <xf numFmtId="0" fontId="58" fillId="3" borderId="1" xfId="0" applyFont="1" applyFill="1" applyBorder="1" applyAlignment="1">
      <alignment vertical="center"/>
    </xf>
    <xf numFmtId="0" fontId="59" fillId="7" borderId="1" xfId="0" applyFont="1" applyFill="1" applyBorder="1" applyAlignment="1">
      <alignment horizontal="center" vertical="center" wrapText="1"/>
    </xf>
    <xf numFmtId="0" fontId="60" fillId="3" borderId="1" xfId="0" applyFont="1" applyFill="1" applyBorder="1" applyAlignment="1">
      <alignment vertical="center"/>
    </xf>
    <xf numFmtId="0" fontId="51" fillId="3" borderId="1" xfId="0" applyFont="1" applyFill="1" applyBorder="1" applyAlignment="1">
      <alignment vertical="center"/>
    </xf>
    <xf numFmtId="0" fontId="61" fillId="7" borderId="1" xfId="0" applyFont="1" applyFill="1" applyBorder="1" applyAlignment="1">
      <alignment horizontal="center" vertical="center" wrapText="1"/>
    </xf>
    <xf numFmtId="0" fontId="62" fillId="3" borderId="1" xfId="0" applyFont="1" applyFill="1" applyBorder="1" applyAlignment="1">
      <alignment vertical="center"/>
    </xf>
    <xf numFmtId="0" fontId="54" fillId="3" borderId="1" xfId="0" applyFont="1" applyFill="1" applyBorder="1" applyAlignment="1">
      <alignment horizontal="center" vertical="center"/>
    </xf>
    <xf numFmtId="164" fontId="54" fillId="3" borderId="1" xfId="0" applyNumberFormat="1" applyFont="1" applyFill="1" applyBorder="1" applyAlignment="1">
      <alignment horizontal="right" vertical="center"/>
    </xf>
    <xf numFmtId="165" fontId="54" fillId="3" borderId="1" xfId="0" applyNumberFormat="1" applyFont="1" applyFill="1" applyBorder="1" applyAlignment="1">
      <alignment horizontal="right" vertical="center"/>
    </xf>
    <xf numFmtId="0" fontId="51" fillId="3" borderId="1" xfId="0" applyFont="1" applyFill="1" applyBorder="1" applyAlignment="1">
      <alignment vertical="top"/>
    </xf>
    <xf numFmtId="0" fontId="63" fillId="3" borderId="1" xfId="0" applyFont="1" applyFill="1" applyBorder="1" applyAlignment="1">
      <alignment horizontal="center" vertical="center" wrapText="1"/>
    </xf>
    <xf numFmtId="0" fontId="64" fillId="3" borderId="1" xfId="0" applyFont="1" applyFill="1" applyBorder="1" applyAlignment="1">
      <alignment vertical="center"/>
    </xf>
    <xf numFmtId="0" fontId="57" fillId="3" borderId="1" xfId="0" applyFont="1" applyFill="1" applyBorder="1" applyAlignment="1">
      <alignment horizontal="center" vertical="center"/>
    </xf>
    <xf numFmtId="49" fontId="65" fillId="3" borderId="1" xfId="0" applyNumberFormat="1" applyFont="1" applyFill="1" applyBorder="1" applyAlignment="1">
      <alignment vertical="center" wrapText="1"/>
    </xf>
    <xf numFmtId="0" fontId="66" fillId="3" borderId="1" xfId="0" applyFont="1" applyFill="1" applyBorder="1" applyAlignment="1">
      <alignment vertical="center"/>
    </xf>
    <xf numFmtId="0" fontId="57" fillId="3" borderId="1" xfId="0" applyFont="1" applyFill="1" applyBorder="1" applyAlignment="1">
      <alignment horizontal="center" vertical="center"/>
    </xf>
    <xf numFmtId="0" fontId="67" fillId="7" borderId="1" xfId="0" applyFont="1" applyFill="1" applyBorder="1" applyAlignment="1">
      <alignment horizontal="center" vertical="center" wrapText="1"/>
    </xf>
    <xf numFmtId="0" fontId="68" fillId="7" borderId="1" xfId="0" applyFont="1" applyFill="1" applyBorder="1" applyAlignment="1">
      <alignment vertical="center"/>
    </xf>
    <xf numFmtId="0" fontId="69" fillId="7" borderId="1" xfId="0" applyFont="1" applyFill="1" applyBorder="1" applyAlignment="1">
      <alignment vertical="center"/>
    </xf>
    <xf numFmtId="0" fontId="57" fillId="7" borderId="1" xfId="0" applyFont="1" applyFill="1" applyBorder="1" applyAlignment="1">
      <alignment horizontal="center" vertical="center"/>
    </xf>
    <xf numFmtId="164" fontId="51" fillId="7" borderId="1" xfId="0" applyNumberFormat="1" applyFont="1" applyFill="1" applyBorder="1" applyAlignment="1">
      <alignment vertical="center"/>
    </xf>
    <xf numFmtId="14" fontId="51" fillId="7" borderId="1" xfId="0" applyNumberFormat="1" applyFont="1" applyFill="1" applyBorder="1" applyAlignment="1">
      <alignment vertical="center"/>
    </xf>
    <xf numFmtId="0" fontId="70" fillId="7" borderId="1" xfId="0" applyFont="1" applyFill="1" applyBorder="1" applyAlignment="1">
      <alignment vertical="center"/>
    </xf>
    <xf numFmtId="164" fontId="57" fillId="7" borderId="1" xfId="0" applyNumberFormat="1" applyFont="1" applyFill="1" applyBorder="1" applyAlignment="1">
      <alignment horizontal="right" vertical="center"/>
    </xf>
    <xf numFmtId="0" fontId="71" fillId="3" borderId="1" xfId="0" applyFont="1" applyFill="1" applyBorder="1" applyAlignment="1">
      <alignment vertical="center" wrapText="1"/>
    </xf>
    <xf numFmtId="0" fontId="72" fillId="3" borderId="1" xfId="0" applyFont="1" applyFill="1" applyBorder="1" applyAlignment="1">
      <alignment horizontal="center" vertical="center" wrapText="1"/>
    </xf>
    <xf numFmtId="0" fontId="73" fillId="3" borderId="1" xfId="0" applyFont="1" applyFill="1" applyBorder="1" applyAlignment="1">
      <alignment horizontal="center" vertical="center" wrapText="1"/>
    </xf>
    <xf numFmtId="0" fontId="74" fillId="3" borderId="1" xfId="0" applyFont="1" applyFill="1" applyBorder="1" applyAlignment="1">
      <alignment vertical="center"/>
    </xf>
    <xf numFmtId="0" fontId="75" fillId="3" borderId="1" xfId="0" applyFont="1" applyFill="1" applyBorder="1" applyAlignment="1">
      <alignment horizontal="center" vertical="center" wrapText="1"/>
    </xf>
    <xf numFmtId="0" fontId="76" fillId="3" borderId="1" xfId="0" applyFont="1" applyFill="1" applyBorder="1" applyAlignment="1">
      <alignment vertical="center"/>
    </xf>
    <xf numFmtId="0" fontId="51" fillId="3" borderId="1" xfId="0" applyFont="1" applyFill="1" applyBorder="1" applyAlignment="1">
      <alignment vertical="top"/>
    </xf>
    <xf numFmtId="0" fontId="77" fillId="7" borderId="1" xfId="0" applyFont="1" applyFill="1" applyBorder="1" applyAlignment="1">
      <alignment vertical="center"/>
    </xf>
    <xf numFmtId="0" fontId="57" fillId="7" borderId="1" xfId="0" applyFont="1" applyFill="1" applyBorder="1" applyAlignment="1">
      <alignment horizontal="center" vertical="center"/>
    </xf>
    <xf numFmtId="0" fontId="57" fillId="7" borderId="1" xfId="0" applyFont="1" applyFill="1" applyBorder="1" applyAlignment="1">
      <alignment vertical="center"/>
    </xf>
    <xf numFmtId="0" fontId="78" fillId="3" borderId="1" xfId="0" applyFont="1" applyFill="1" applyBorder="1" applyAlignment="1">
      <alignment vertical="center"/>
    </xf>
    <xf numFmtId="164" fontId="57" fillId="3" borderId="1" xfId="0" applyNumberFormat="1" applyFont="1" applyFill="1" applyBorder="1" applyAlignment="1">
      <alignment horizontal="right" vertical="center"/>
    </xf>
    <xf numFmtId="165" fontId="57" fillId="3" borderId="1" xfId="0" applyNumberFormat="1" applyFont="1" applyFill="1" applyBorder="1" applyAlignment="1">
      <alignment horizontal="right" vertical="center"/>
    </xf>
    <xf numFmtId="0" fontId="57" fillId="3" borderId="1" xfId="0" applyFont="1" applyFill="1" applyBorder="1" applyAlignment="1">
      <alignment vertical="top"/>
    </xf>
    <xf numFmtId="0" fontId="79" fillId="7" borderId="1" xfId="0" applyFont="1" applyFill="1" applyBorder="1" applyAlignment="1">
      <alignment vertical="center"/>
    </xf>
    <xf numFmtId="0" fontId="51" fillId="7" borderId="1" xfId="0" applyFont="1" applyFill="1" applyBorder="1" applyAlignment="1">
      <alignment vertical="top"/>
    </xf>
    <xf numFmtId="0" fontId="80" fillId="7" borderId="1" xfId="0" applyFont="1" applyFill="1" applyBorder="1" applyAlignment="1">
      <alignment vertical="center"/>
    </xf>
    <xf numFmtId="0" fontId="81" fillId="3" borderId="1" xfId="0" applyFont="1" applyFill="1" applyBorder="1" applyAlignment="1">
      <alignment vertical="center"/>
    </xf>
    <xf numFmtId="0" fontId="82" fillId="3" borderId="1" xfId="0" applyFont="1" applyFill="1" applyBorder="1" applyAlignment="1">
      <alignment vertical="center"/>
    </xf>
    <xf numFmtId="164" fontId="57" fillId="3" borderId="1" xfId="0" applyNumberFormat="1" applyFont="1" applyFill="1" applyBorder="1" applyAlignment="1">
      <alignment horizontal="right" vertical="center"/>
    </xf>
    <xf numFmtId="165" fontId="57" fillId="3" borderId="1" xfId="0" applyNumberFormat="1" applyFont="1" applyFill="1" applyBorder="1" applyAlignment="1">
      <alignment horizontal="right" vertical="center"/>
    </xf>
    <xf numFmtId="0" fontId="57" fillId="3" borderId="1" xfId="0" applyFont="1" applyFill="1" applyBorder="1" applyAlignment="1">
      <alignment vertical="top"/>
    </xf>
    <xf numFmtId="0" fontId="83" fillId="0" borderId="1" xfId="0" applyFont="1" applyBorder="1" applyAlignment="1">
      <alignment vertical="center"/>
    </xf>
    <xf numFmtId="0" fontId="57" fillId="3" borderId="1" xfId="0" applyFont="1" applyFill="1" applyBorder="1" applyAlignment="1">
      <alignment vertical="center"/>
    </xf>
    <xf numFmtId="1" fontId="54" fillId="3" borderId="1" xfId="0" applyNumberFormat="1" applyFont="1" applyFill="1" applyBorder="1" applyAlignment="1">
      <alignment horizontal="center" vertical="center" wrapText="1"/>
    </xf>
    <xf numFmtId="0" fontId="84" fillId="3" borderId="1" xfId="0" applyFont="1" applyFill="1" applyBorder="1" applyAlignment="1">
      <alignment vertical="center"/>
    </xf>
    <xf numFmtId="0" fontId="18" fillId="8" borderId="1" xfId="0" applyFont="1" applyFill="1" applyBorder="1" applyAlignment="1">
      <alignment horizontal="center" vertical="center"/>
    </xf>
    <xf numFmtId="0" fontId="18" fillId="9" borderId="1" xfId="0" applyFont="1" applyFill="1" applyBorder="1" applyAlignment="1">
      <alignment horizontal="center" vertical="center"/>
    </xf>
    <xf numFmtId="0" fontId="18" fillId="9" borderId="1" xfId="0" applyFont="1" applyFill="1" applyBorder="1" applyAlignment="1">
      <alignment horizontal="center" vertical="center" wrapText="1"/>
    </xf>
    <xf numFmtId="0" fontId="18" fillId="10" borderId="1" xfId="0" applyFont="1" applyFill="1" applyBorder="1" applyAlignment="1">
      <alignment horizontal="center" vertical="center"/>
    </xf>
    <xf numFmtId="0" fontId="18" fillId="0" borderId="1" xfId="0" applyFont="1" applyBorder="1" applyAlignment="1">
      <alignment horizontal="center" vertical="center"/>
    </xf>
    <xf numFmtId="0" fontId="15" fillId="0" borderId="0" xfId="0" applyFont="1" applyAlignment="1">
      <alignment horizontal="center" vertical="center"/>
    </xf>
    <xf numFmtId="0" fontId="15" fillId="0" borderId="4" xfId="0" applyFont="1" applyBorder="1" applyAlignment="1">
      <alignment vertical="center"/>
    </xf>
    <xf numFmtId="0" fontId="18" fillId="4" borderId="5" xfId="0" applyFont="1" applyFill="1" applyBorder="1" applyAlignment="1">
      <alignment wrapText="1"/>
    </xf>
    <xf numFmtId="0" fontId="15" fillId="0" borderId="4" xfId="0" applyFont="1" applyBorder="1"/>
    <xf numFmtId="0" fontId="15" fillId="0" borderId="4" xfId="0" applyFont="1" applyBorder="1" applyAlignment="1">
      <alignment horizontal="center" vertical="center" wrapText="1"/>
    </xf>
    <xf numFmtId="14" fontId="15" fillId="0" borderId="4" xfId="0" applyNumberFormat="1" applyFont="1" applyBorder="1"/>
    <xf numFmtId="0" fontId="15" fillId="0" borderId="0" xfId="0" applyFont="1"/>
    <xf numFmtId="0" fontId="15" fillId="0" borderId="1" xfId="0" applyFont="1" applyBorder="1" applyAlignment="1">
      <alignment vertical="center"/>
    </xf>
    <xf numFmtId="0" fontId="18" fillId="0" borderId="1" xfId="0" applyFont="1" applyBorder="1" applyAlignment="1">
      <alignment vertical="center" wrapText="1"/>
    </xf>
    <xf numFmtId="0" fontId="15" fillId="0" borderId="1" xfId="0" applyFont="1" applyBorder="1" applyAlignment="1">
      <alignment horizontal="left" vertical="center" wrapText="1"/>
    </xf>
    <xf numFmtId="14" fontId="15" fillId="0" borderId="1" xfId="0" applyNumberFormat="1" applyFont="1" applyBorder="1" applyAlignment="1">
      <alignment horizontal="center" vertical="center"/>
    </xf>
    <xf numFmtId="0" fontId="15" fillId="0" borderId="1" xfId="0" applyFont="1" applyBorder="1" applyAlignment="1">
      <alignment horizontal="center" vertical="center"/>
    </xf>
    <xf numFmtId="1" fontId="15" fillId="0" borderId="1" xfId="0" applyNumberFormat="1" applyFont="1" applyBorder="1" applyAlignment="1">
      <alignment horizontal="center" vertical="center" wrapText="1"/>
    </xf>
    <xf numFmtId="0" fontId="15" fillId="0" borderId="1" xfId="0" applyFont="1" applyBorder="1" applyAlignment="1">
      <alignment horizontal="left" vertical="top" wrapText="1"/>
    </xf>
    <xf numFmtId="0" fontId="15" fillId="11" borderId="1" xfId="0" applyFont="1" applyFill="1" applyBorder="1" applyAlignment="1">
      <alignment vertical="center" wrapText="1"/>
    </xf>
    <xf numFmtId="0" fontId="18" fillId="4" borderId="1" xfId="0" applyFont="1" applyFill="1" applyBorder="1" applyAlignment="1">
      <alignment vertical="center" wrapText="1"/>
    </xf>
    <xf numFmtId="0" fontId="18" fillId="11" borderId="1" xfId="0" applyFont="1" applyFill="1" applyBorder="1" applyAlignment="1">
      <alignment vertical="center" wrapText="1"/>
    </xf>
    <xf numFmtId="0" fontId="15" fillId="11" borderId="1" xfId="0" applyFont="1" applyFill="1" applyBorder="1" applyAlignment="1">
      <alignment horizontal="center" vertical="center" wrapText="1"/>
    </xf>
    <xf numFmtId="14" fontId="15" fillId="11" borderId="1" xfId="0" applyNumberFormat="1" applyFont="1" applyFill="1" applyBorder="1" applyAlignment="1">
      <alignment vertical="center"/>
    </xf>
    <xf numFmtId="14" fontId="15" fillId="11" borderId="6" xfId="0" applyNumberFormat="1" applyFont="1" applyFill="1" applyBorder="1" applyAlignment="1">
      <alignment vertical="center"/>
    </xf>
    <xf numFmtId="1" fontId="15" fillId="11" borderId="1" xfId="0" applyNumberFormat="1" applyFont="1" applyFill="1" applyBorder="1" applyAlignment="1">
      <alignment horizontal="center" vertical="center" wrapText="1"/>
    </xf>
    <xf numFmtId="0" fontId="15" fillId="0" borderId="0" xfId="0" applyFont="1" applyAlignment="1">
      <alignment vertical="center"/>
    </xf>
    <xf numFmtId="0" fontId="51" fillId="0" borderId="1" xfId="0" applyFont="1" applyBorder="1" applyAlignment="1">
      <alignment vertical="center"/>
    </xf>
    <xf numFmtId="0" fontId="18" fillId="11" borderId="1" xfId="0" applyFont="1" applyFill="1" applyBorder="1" applyAlignment="1">
      <alignment horizontal="center" vertical="center" wrapText="1"/>
    </xf>
    <xf numFmtId="14" fontId="18" fillId="11" borderId="1" xfId="0" applyNumberFormat="1" applyFont="1" applyFill="1" applyBorder="1" applyAlignment="1">
      <alignment horizontal="center" vertical="center"/>
    </xf>
    <xf numFmtId="0" fontId="18" fillId="11" borderId="1" xfId="0" applyFont="1" applyFill="1" applyBorder="1" applyAlignment="1">
      <alignment horizontal="center" vertical="top" wrapText="1"/>
    </xf>
    <xf numFmtId="0" fontId="15" fillId="11" borderId="7" xfId="0" applyFont="1" applyFill="1" applyBorder="1" applyAlignment="1">
      <alignment horizontal="left" vertical="center"/>
    </xf>
    <xf numFmtId="0" fontId="15" fillId="11" borderId="7" xfId="0" applyFont="1" applyFill="1" applyBorder="1" applyAlignment="1">
      <alignment horizontal="center" vertical="center"/>
    </xf>
    <xf numFmtId="0" fontId="51" fillId="0" borderId="1" xfId="0" applyFont="1" applyBorder="1" applyAlignment="1">
      <alignment horizontal="center" vertical="center" wrapText="1"/>
    </xf>
    <xf numFmtId="14" fontId="51" fillId="0" borderId="1" xfId="0" applyNumberFormat="1" applyFont="1" applyBorder="1" applyAlignment="1">
      <alignment vertical="center"/>
    </xf>
    <xf numFmtId="0" fontId="15" fillId="0" borderId="1" xfId="0" applyFont="1" applyBorder="1" applyAlignment="1">
      <alignment vertical="center" wrapText="1"/>
    </xf>
    <xf numFmtId="0" fontId="51" fillId="0" borderId="0" xfId="0" applyFont="1" applyAlignment="1">
      <alignment vertical="center"/>
    </xf>
    <xf numFmtId="0" fontId="18" fillId="12" borderId="1" xfId="0" applyFont="1" applyFill="1" applyBorder="1" applyAlignment="1">
      <alignment horizontal="center" vertical="center"/>
    </xf>
    <xf numFmtId="0" fontId="18" fillId="4" borderId="1" xfId="0" applyFont="1" applyFill="1" applyBorder="1" applyAlignment="1">
      <alignment horizontal="left" vertical="center" wrapText="1"/>
    </xf>
    <xf numFmtId="0" fontId="15" fillId="12" borderId="1" xfId="0" applyFont="1" applyFill="1" applyBorder="1" applyAlignment="1">
      <alignment horizontal="left" vertical="center"/>
    </xf>
    <xf numFmtId="14" fontId="15" fillId="12" borderId="1" xfId="0" applyNumberFormat="1" applyFont="1" applyFill="1" applyBorder="1" applyAlignment="1">
      <alignment horizontal="center" vertical="center"/>
    </xf>
    <xf numFmtId="1" fontId="15" fillId="12" borderId="1" xfId="0" applyNumberFormat="1" applyFont="1" applyFill="1" applyBorder="1" applyAlignment="1">
      <alignment horizontal="center" vertical="center" wrapText="1"/>
    </xf>
    <xf numFmtId="0" fontId="15" fillId="12" borderId="1" xfId="0" applyFont="1" applyFill="1" applyBorder="1" applyAlignment="1">
      <alignment horizontal="left" vertical="top" wrapText="1"/>
    </xf>
    <xf numFmtId="0" fontId="18" fillId="11" borderId="1" xfId="0" applyFont="1" applyFill="1" applyBorder="1" applyAlignment="1">
      <alignment horizontal="center" vertical="center"/>
    </xf>
    <xf numFmtId="0" fontId="18" fillId="11" borderId="5" xfId="0" applyFont="1" applyFill="1" applyBorder="1" applyAlignment="1">
      <alignment horizontal="center" vertical="center" wrapText="1"/>
    </xf>
    <xf numFmtId="0" fontId="15" fillId="11" borderId="1" xfId="0" applyFont="1" applyFill="1" applyBorder="1"/>
    <xf numFmtId="0" fontId="15" fillId="11" borderId="1" xfId="0" applyFont="1" applyFill="1" applyBorder="1" applyAlignment="1">
      <alignment horizontal="left" vertical="center" wrapText="1"/>
    </xf>
    <xf numFmtId="14" fontId="15" fillId="11" borderId="1" xfId="0" applyNumberFormat="1" applyFont="1" applyFill="1" applyBorder="1" applyAlignment="1">
      <alignment horizontal="center" vertical="center"/>
    </xf>
    <xf numFmtId="14" fontId="15" fillId="11" borderId="1" xfId="0" applyNumberFormat="1" applyFont="1" applyFill="1" applyBorder="1" applyAlignment="1">
      <alignment horizontal="center"/>
    </xf>
    <xf numFmtId="0" fontId="15" fillId="11" borderId="1" xfId="0" applyFont="1" applyFill="1" applyBorder="1" applyAlignment="1">
      <alignment wrapText="1"/>
    </xf>
    <xf numFmtId="0" fontId="51" fillId="0" borderId="0" xfId="0" applyFont="1"/>
    <xf numFmtId="0" fontId="18" fillId="11" borderId="8" xfId="0" applyFont="1" applyFill="1" applyBorder="1" applyAlignment="1">
      <alignment horizontal="center" vertical="center" wrapText="1"/>
    </xf>
    <xf numFmtId="0" fontId="18" fillId="11" borderId="9" xfId="0" applyFont="1" applyFill="1" applyBorder="1" applyAlignment="1">
      <alignment horizontal="center" vertical="center" wrapText="1"/>
    </xf>
    <xf numFmtId="0" fontId="15" fillId="4" borderId="1" xfId="0" applyFont="1" applyFill="1" applyBorder="1" applyAlignment="1">
      <alignment wrapText="1"/>
    </xf>
    <xf numFmtId="0" fontId="13" fillId="0" borderId="0" xfId="0" applyFont="1" applyAlignment="1">
      <alignment horizontal="center" vertical="center"/>
    </xf>
    <xf numFmtId="0" fontId="4" fillId="0" borderId="0" xfId="0" applyFont="1" applyAlignment="1">
      <alignment horizontal="center" vertical="center"/>
    </xf>
    <xf numFmtId="0" fontId="15" fillId="0" borderId="0" xfId="0" applyFont="1" applyAlignment="1">
      <alignment horizontal="left" vertical="center"/>
    </xf>
    <xf numFmtId="0" fontId="9" fillId="0" borderId="0" xfId="0" applyFont="1" applyAlignment="1">
      <alignment horizontal="center" vertical="center" wrapText="1"/>
    </xf>
    <xf numFmtId="0" fontId="4" fillId="0" borderId="0" xfId="0" applyFont="1" applyAlignment="1">
      <alignment horizontal="center" vertical="top" wrapText="1"/>
    </xf>
    <xf numFmtId="0" fontId="13"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14" fontId="4" fillId="3" borderId="1" xfId="0" applyNumberFormat="1" applyFont="1" applyFill="1" applyBorder="1" applyAlignment="1">
      <alignment horizontal="center" vertical="center"/>
    </xf>
    <xf numFmtId="0" fontId="4" fillId="3" borderId="1" xfId="0" applyFont="1" applyFill="1" applyBorder="1" applyAlignment="1">
      <alignment horizontal="center" vertical="center"/>
    </xf>
    <xf numFmtId="0" fontId="9" fillId="3" borderId="0" xfId="0" applyFont="1" applyFill="1" applyAlignment="1">
      <alignment horizontal="left" vertical="top" wrapText="1"/>
    </xf>
    <xf numFmtId="0" fontId="4" fillId="3" borderId="1" xfId="0" applyFont="1" applyFill="1" applyBorder="1" applyAlignment="1">
      <alignment horizontal="center" vertical="center" wrapText="1"/>
    </xf>
    <xf numFmtId="0" fontId="18" fillId="3" borderId="1" xfId="0" applyFont="1" applyFill="1" applyBorder="1" applyAlignment="1">
      <alignment horizontal="left" vertical="center" wrapText="1"/>
    </xf>
    <xf numFmtId="0" fontId="15" fillId="13" borderId="1" xfId="0" applyFont="1" applyFill="1" applyBorder="1" applyAlignment="1">
      <alignment horizontal="left" vertical="center"/>
    </xf>
    <xf numFmtId="0" fontId="86" fillId="3" borderId="1" xfId="0" applyFont="1" applyFill="1" applyBorder="1" applyAlignment="1">
      <alignment vertical="center"/>
    </xf>
    <xf numFmtId="0" fontId="86" fillId="3" borderId="1" xfId="0" applyFont="1" applyFill="1" applyBorder="1" applyAlignment="1">
      <alignment horizontal="center" vertical="center"/>
    </xf>
    <xf numFmtId="0" fontId="86" fillId="3" borderId="1" xfId="0" applyFont="1" applyFill="1" applyBorder="1" applyAlignment="1">
      <alignment vertical="center"/>
    </xf>
    <xf numFmtId="164" fontId="86" fillId="3" borderId="1" xfId="0" applyNumberFormat="1" applyFont="1" applyFill="1" applyBorder="1" applyAlignment="1">
      <alignment vertical="center"/>
    </xf>
    <xf numFmtId="165" fontId="86" fillId="3" borderId="1" xfId="0" applyNumberFormat="1" applyFont="1" applyFill="1" applyBorder="1" applyAlignment="1">
      <alignment vertical="center"/>
    </xf>
    <xf numFmtId="0" fontId="86" fillId="3" borderId="1" xfId="0" applyFont="1" applyFill="1" applyBorder="1" applyAlignment="1">
      <alignment horizontal="center" vertical="center"/>
    </xf>
    <xf numFmtId="14" fontId="86" fillId="3" borderId="1" xfId="0" applyNumberFormat="1" applyFont="1" applyFill="1" applyBorder="1" applyAlignment="1">
      <alignment vertical="center"/>
    </xf>
    <xf numFmtId="0" fontId="86" fillId="3" borderId="0" xfId="0" applyFont="1" applyFill="1" applyAlignment="1">
      <alignment vertical="center"/>
    </xf>
    <xf numFmtId="0" fontId="86" fillId="3" borderId="0" xfId="0" applyFont="1" applyFill="1" applyAlignment="1">
      <alignment vertical="center"/>
    </xf>
    <xf numFmtId="0" fontId="15" fillId="3" borderId="1" xfId="0" applyFont="1" applyFill="1" applyBorder="1" applyAlignment="1">
      <alignment horizontal="left" vertical="center"/>
    </xf>
    <xf numFmtId="0" fontId="13"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14" fontId="9" fillId="3" borderId="1" xfId="0" applyNumberFormat="1" applyFont="1" applyFill="1" applyBorder="1" applyAlignment="1">
      <alignment horizontal="center" vertical="center"/>
    </xf>
    <xf numFmtId="164" fontId="9" fillId="3" borderId="1" xfId="0" applyNumberFormat="1" applyFont="1" applyFill="1" applyBorder="1" applyAlignment="1">
      <alignment vertical="center"/>
    </xf>
    <xf numFmtId="165" fontId="9" fillId="3" borderId="1" xfId="0" applyNumberFormat="1" applyFont="1" applyFill="1" applyBorder="1" applyAlignment="1">
      <alignment vertical="center"/>
    </xf>
    <xf numFmtId="1" fontId="9" fillId="3" borderId="1" xfId="0" applyNumberFormat="1" applyFont="1" applyFill="1" applyBorder="1" applyAlignment="1">
      <alignment horizontal="center" vertical="center" wrapText="1"/>
    </xf>
    <xf numFmtId="14" fontId="9" fillId="3" borderId="1" xfId="0" applyNumberFormat="1" applyFont="1" applyFill="1" applyBorder="1" applyAlignment="1">
      <alignment vertical="center"/>
    </xf>
    <xf numFmtId="0" fontId="9" fillId="3" borderId="1" xfId="0" applyFont="1" applyFill="1" applyBorder="1" applyAlignment="1">
      <alignment horizontal="left" vertical="top" wrapText="1"/>
    </xf>
    <xf numFmtId="0" fontId="9" fillId="3" borderId="0" xfId="0" applyFont="1" applyFill="1" applyAlignment="1">
      <alignment horizontal="left" vertical="top" wrapText="1"/>
    </xf>
    <xf numFmtId="0" fontId="9" fillId="0" borderId="0" xfId="0" applyFont="1" applyAlignment="1">
      <alignment horizontal="center" vertical="center"/>
    </xf>
    <xf numFmtId="0" fontId="9" fillId="3" borderId="1" xfId="0" applyFont="1" applyFill="1" applyBorder="1" applyAlignment="1">
      <alignment vertical="center" wrapText="1"/>
    </xf>
    <xf numFmtId="0" fontId="9" fillId="3" borderId="1" xfId="0" applyFont="1" applyFill="1" applyBorder="1" applyAlignment="1">
      <alignment horizontal="left" vertical="top"/>
    </xf>
    <xf numFmtId="0" fontId="9" fillId="3" borderId="0" xfId="0" applyFont="1" applyFill="1" applyAlignment="1">
      <alignment horizontal="left" vertical="top"/>
    </xf>
    <xf numFmtId="0" fontId="15" fillId="3" borderId="1" xfId="0" applyFont="1" applyFill="1" applyBorder="1" applyAlignment="1">
      <alignment horizontal="left" vertical="center" wrapText="1"/>
    </xf>
    <xf numFmtId="0" fontId="9" fillId="3" borderId="1" xfId="0" applyFont="1" applyFill="1" applyBorder="1" applyAlignment="1">
      <alignment horizontal="center" vertical="center"/>
    </xf>
    <xf numFmtId="0" fontId="9" fillId="3" borderId="0" xfId="0" applyFont="1" applyFill="1" applyAlignment="1">
      <alignment horizontal="left" vertical="top"/>
    </xf>
    <xf numFmtId="0" fontId="86" fillId="0" borderId="0" xfId="0" applyFont="1"/>
    <xf numFmtId="0" fontId="9" fillId="3" borderId="0" xfId="0" applyFont="1" applyFill="1" applyAlignment="1">
      <alignment horizontal="left" vertical="top" wrapText="1"/>
    </xf>
    <xf numFmtId="0" fontId="9" fillId="3" borderId="0" xfId="0" applyFont="1" applyFill="1" applyAlignment="1">
      <alignment horizontal="left" vertical="top" wrapText="1"/>
    </xf>
    <xf numFmtId="0" fontId="9" fillId="0" borderId="0" xfId="0" applyFont="1"/>
    <xf numFmtId="0" fontId="4" fillId="3" borderId="1" xfId="0" applyFont="1" applyFill="1" applyBorder="1" applyAlignment="1">
      <alignment horizontal="center" vertical="center" wrapText="1"/>
    </xf>
    <xf numFmtId="0" fontId="9" fillId="3" borderId="1" xfId="0" applyFont="1" applyFill="1" applyBorder="1" applyAlignment="1">
      <alignment horizontal="center" wrapText="1"/>
    </xf>
    <xf numFmtId="165" fontId="9" fillId="3" borderId="1" xfId="0" applyNumberFormat="1" applyFont="1" applyFill="1" applyBorder="1" applyAlignment="1">
      <alignment wrapText="1"/>
    </xf>
    <xf numFmtId="165" fontId="9" fillId="3" borderId="1" xfId="0" applyNumberFormat="1" applyFont="1" applyFill="1" applyBorder="1" applyAlignment="1">
      <alignment vertical="center" wrapText="1"/>
    </xf>
    <xf numFmtId="0" fontId="9" fillId="3" borderId="1" xfId="0" applyFont="1" applyFill="1" applyBorder="1" applyAlignment="1">
      <alignment horizontal="center"/>
    </xf>
    <xf numFmtId="164" fontId="9" fillId="3" borderId="1" xfId="0" applyNumberFormat="1" applyFont="1" applyFill="1" applyBorder="1"/>
    <xf numFmtId="0" fontId="9" fillId="3" borderId="1" xfId="0" applyFont="1" applyFill="1" applyBorder="1"/>
    <xf numFmtId="14" fontId="9" fillId="3" borderId="1" xfId="0" applyNumberFormat="1" applyFont="1" applyFill="1" applyBorder="1"/>
    <xf numFmtId="14" fontId="9" fillId="3" borderId="1" xfId="0" applyNumberFormat="1" applyFont="1" applyFill="1" applyBorder="1" applyAlignment="1">
      <alignment horizontal="left" vertical="top" wrapText="1"/>
    </xf>
    <xf numFmtId="0" fontId="9" fillId="3" borderId="0" xfId="0" applyFont="1" applyFill="1" applyAlignment="1">
      <alignment horizontal="left" vertical="top" wrapText="1"/>
    </xf>
    <xf numFmtId="0" fontId="86" fillId="3" borderId="1" xfId="0" applyFont="1" applyFill="1" applyBorder="1" applyAlignment="1">
      <alignment horizontal="center" wrapText="1"/>
    </xf>
    <xf numFmtId="165" fontId="86" fillId="3" borderId="1" xfId="0" applyNumberFormat="1" applyFont="1" applyFill="1" applyBorder="1"/>
    <xf numFmtId="165" fontId="86" fillId="3" borderId="1" xfId="0" applyNumberFormat="1" applyFont="1" applyFill="1" applyBorder="1" applyAlignment="1">
      <alignment wrapText="1"/>
    </xf>
    <xf numFmtId="0" fontId="86" fillId="3" borderId="1" xfId="0" applyFont="1" applyFill="1" applyBorder="1" applyAlignment="1">
      <alignment horizontal="center"/>
    </xf>
    <xf numFmtId="164" fontId="86" fillId="3" borderId="1" xfId="0" applyNumberFormat="1" applyFont="1" applyFill="1" applyBorder="1"/>
    <xf numFmtId="0" fontId="86" fillId="3" borderId="1" xfId="0" applyFont="1" applyFill="1" applyBorder="1"/>
    <xf numFmtId="14" fontId="86" fillId="3" borderId="1" xfId="0" applyNumberFormat="1" applyFont="1" applyFill="1" applyBorder="1"/>
    <xf numFmtId="0" fontId="9" fillId="3" borderId="0" xfId="0" applyFont="1" applyFill="1"/>
    <xf numFmtId="0" fontId="4" fillId="3" borderId="1" xfId="0" applyFont="1" applyFill="1" applyBorder="1" applyAlignment="1">
      <alignment horizontal="center" vertical="center"/>
    </xf>
    <xf numFmtId="0" fontId="15" fillId="3" borderId="1" xfId="0" applyFont="1" applyFill="1" applyBorder="1" applyAlignment="1">
      <alignment horizontal="left" vertical="center"/>
    </xf>
    <xf numFmtId="14" fontId="9" fillId="3" borderId="1" xfId="0" applyNumberFormat="1" applyFont="1" applyFill="1" applyBorder="1" applyAlignment="1">
      <alignment horizontal="center"/>
    </xf>
    <xf numFmtId="0" fontId="9" fillId="3" borderId="1" xfId="0" applyFont="1" applyFill="1" applyBorder="1" applyAlignment="1">
      <alignment vertical="top" wrapText="1"/>
    </xf>
    <xf numFmtId="0" fontId="9" fillId="3" borderId="0" xfId="0" applyFont="1" applyFill="1" applyAlignment="1">
      <alignment vertical="top" wrapText="1"/>
    </xf>
    <xf numFmtId="0" fontId="9" fillId="3" borderId="0" xfId="0" applyFont="1" applyFill="1" applyAlignment="1">
      <alignment vertical="top" wrapText="1"/>
    </xf>
    <xf numFmtId="0" fontId="13" fillId="3" borderId="1" xfId="0" applyFont="1" applyFill="1" applyBorder="1" applyAlignment="1">
      <alignment horizontal="center" vertical="center"/>
    </xf>
    <xf numFmtId="14" fontId="9" fillId="3" borderId="1" xfId="0" applyNumberFormat="1" applyFont="1" applyFill="1" applyBorder="1" applyAlignment="1">
      <alignment horizontal="center" vertical="center"/>
    </xf>
    <xf numFmtId="164" fontId="9" fillId="3" borderId="1" xfId="0" applyNumberFormat="1" applyFont="1" applyFill="1" applyBorder="1" applyAlignment="1">
      <alignment vertical="center"/>
    </xf>
    <xf numFmtId="165" fontId="9" fillId="3" borderId="1" xfId="0" applyNumberFormat="1" applyFont="1" applyFill="1" applyBorder="1" applyAlignment="1">
      <alignment vertical="center"/>
    </xf>
    <xf numFmtId="0" fontId="85" fillId="3" borderId="1" xfId="0" applyFont="1" applyFill="1" applyBorder="1" applyAlignment="1">
      <alignment horizontal="center"/>
    </xf>
    <xf numFmtId="0" fontId="9" fillId="3" borderId="1" xfId="0" applyFont="1" applyFill="1" applyBorder="1" applyAlignment="1">
      <alignment vertical="center"/>
    </xf>
    <xf numFmtId="166" fontId="9" fillId="3" borderId="1" xfId="0" applyNumberFormat="1" applyFont="1" applyFill="1" applyBorder="1" applyAlignment="1">
      <alignment horizontal="center" vertical="center"/>
    </xf>
    <xf numFmtId="14" fontId="9" fillId="3" borderId="1" xfId="0" applyNumberFormat="1" applyFont="1" applyFill="1" applyBorder="1" applyAlignment="1">
      <alignment vertical="center"/>
    </xf>
    <xf numFmtId="166" fontId="9" fillId="3" borderId="1" xfId="0" applyNumberFormat="1" applyFont="1" applyFill="1" applyBorder="1" applyAlignment="1">
      <alignment horizontal="center" vertical="center"/>
    </xf>
    <xf numFmtId="14" fontId="9" fillId="3" borderId="1" xfId="0" applyNumberFormat="1" applyFont="1" applyFill="1" applyBorder="1" applyAlignment="1">
      <alignment vertical="center"/>
    </xf>
    <xf numFmtId="0" fontId="9" fillId="3" borderId="0" xfId="0" applyFont="1" applyFill="1" applyAlignment="1">
      <alignment horizontal="left" vertical="top"/>
    </xf>
    <xf numFmtId="0" fontId="9" fillId="3" borderId="0" xfId="0" applyFont="1" applyFill="1" applyAlignment="1">
      <alignment horizontal="left" vertical="top"/>
    </xf>
    <xf numFmtId="0" fontId="85" fillId="3" borderId="1" xfId="0" applyFont="1" applyFill="1" applyBorder="1" applyAlignment="1">
      <alignment horizontal="center"/>
    </xf>
    <xf numFmtId="0" fontId="13" fillId="3" borderId="1" xfId="0" applyFont="1" applyFill="1" applyBorder="1" applyAlignment="1">
      <alignment horizontal="center" vertical="center" wrapText="1"/>
    </xf>
    <xf numFmtId="0" fontId="13" fillId="3" borderId="1" xfId="0" applyFont="1" applyFill="1" applyBorder="1" applyAlignment="1">
      <alignment vertical="center"/>
    </xf>
    <xf numFmtId="0" fontId="9"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9" fillId="3" borderId="1" xfId="0" applyFont="1" applyFill="1" applyBorder="1" applyAlignment="1">
      <alignment vertical="center"/>
    </xf>
    <xf numFmtId="0" fontId="15" fillId="3" borderId="1" xfId="0" applyFont="1" applyFill="1" applyBorder="1" applyAlignment="1">
      <alignment horizontal="left" vertical="center"/>
    </xf>
    <xf numFmtId="0" fontId="9" fillId="3" borderId="1" xfId="0" applyFont="1" applyFill="1" applyBorder="1" applyAlignment="1">
      <alignment vertical="center"/>
    </xf>
    <xf numFmtId="14" fontId="9" fillId="3" borderId="1" xfId="0" applyNumberFormat="1" applyFont="1" applyFill="1" applyBorder="1" applyAlignment="1">
      <alignment horizontal="center" vertical="center"/>
    </xf>
    <xf numFmtId="164" fontId="9" fillId="3" borderId="1" xfId="0" applyNumberFormat="1" applyFont="1" applyFill="1" applyBorder="1" applyAlignment="1">
      <alignment vertical="center"/>
    </xf>
    <xf numFmtId="0" fontId="9" fillId="3" borderId="0" xfId="0" applyFont="1" applyFill="1" applyAlignment="1">
      <alignment vertical="center"/>
    </xf>
    <xf numFmtId="14" fontId="9" fillId="3" borderId="0" xfId="0" applyNumberFormat="1" applyFont="1" applyFill="1" applyAlignment="1">
      <alignment vertical="center"/>
    </xf>
    <xf numFmtId="0" fontId="9" fillId="3" borderId="0" xfId="0" applyFont="1" applyFill="1" applyAlignment="1">
      <alignment horizontal="left" vertical="top"/>
    </xf>
    <xf numFmtId="0" fontId="87" fillId="3" borderId="1" xfId="0" applyFont="1" applyFill="1" applyBorder="1" applyAlignment="1">
      <alignment horizontal="center" vertical="center"/>
    </xf>
    <xf numFmtId="1" fontId="9" fillId="3" borderId="1" xfId="0" applyNumberFormat="1" applyFont="1" applyFill="1" applyBorder="1" applyAlignment="1">
      <alignment horizontal="center" vertical="center"/>
    </xf>
    <xf numFmtId="0" fontId="9" fillId="3" borderId="1" xfId="0" applyFont="1" applyFill="1" applyBorder="1" applyAlignment="1">
      <alignment vertical="center"/>
    </xf>
    <xf numFmtId="0" fontId="13" fillId="3" borderId="1" xfId="0" applyFont="1" applyFill="1" applyBorder="1" applyAlignment="1">
      <alignment horizontal="center" vertical="center" wrapText="1"/>
    </xf>
    <xf numFmtId="0" fontId="88" fillId="3" borderId="1" xfId="0" applyFont="1" applyFill="1" applyBorder="1" applyAlignment="1">
      <alignment horizontal="center"/>
    </xf>
    <xf numFmtId="0" fontId="85" fillId="3" borderId="1" xfId="0" applyFont="1" applyFill="1" applyBorder="1" applyAlignment="1">
      <alignment horizontal="center"/>
    </xf>
    <xf numFmtId="0" fontId="89" fillId="3" borderId="1" xfId="0" applyFont="1" applyFill="1" applyBorder="1" applyAlignment="1">
      <alignment horizontal="center" vertical="center"/>
    </xf>
    <xf numFmtId="0" fontId="90" fillId="3" borderId="1" xfId="0" applyFont="1" applyFill="1" applyBorder="1" applyAlignment="1">
      <alignment horizontal="center"/>
    </xf>
    <xf numFmtId="0" fontId="91" fillId="3" borderId="2" xfId="0" applyFont="1" applyFill="1" applyBorder="1" applyAlignment="1">
      <alignment horizontal="center"/>
    </xf>
    <xf numFmtId="0" fontId="92" fillId="3" borderId="1" xfId="0" applyFont="1" applyFill="1" applyBorder="1" applyAlignment="1">
      <alignment horizontal="left" vertical="center"/>
    </xf>
    <xf numFmtId="0" fontId="93" fillId="3" borderId="1" xfId="0" applyFont="1" applyFill="1" applyBorder="1" applyAlignment="1">
      <alignment vertical="center"/>
    </xf>
    <xf numFmtId="164" fontId="17" fillId="3" borderId="1" xfId="0" applyNumberFormat="1" applyFont="1" applyFill="1" applyBorder="1" applyAlignment="1">
      <alignment horizontal="right"/>
    </xf>
    <xf numFmtId="0" fontId="9" fillId="3" borderId="1" xfId="0" applyFont="1" applyFill="1" applyBorder="1" applyAlignment="1">
      <alignment horizontal="left" vertical="top"/>
    </xf>
    <xf numFmtId="0" fontId="9" fillId="3" borderId="1" xfId="0" applyFont="1" applyFill="1" applyBorder="1" applyAlignment="1">
      <alignment horizontal="left" vertical="top"/>
    </xf>
    <xf numFmtId="0" fontId="9" fillId="3" borderId="1" xfId="0" applyFont="1" applyFill="1" applyBorder="1" applyAlignment="1">
      <alignment horizontal="left" vertical="top"/>
    </xf>
    <xf numFmtId="0" fontId="94" fillId="3" borderId="1" xfId="0" applyFont="1" applyFill="1" applyBorder="1" applyAlignment="1">
      <alignment horizontal="center" vertical="center"/>
    </xf>
    <xf numFmtId="0" fontId="95" fillId="3" borderId="1" xfId="0" applyFont="1" applyFill="1" applyBorder="1" applyAlignment="1">
      <alignment horizontal="center"/>
    </xf>
    <xf numFmtId="0" fontId="96" fillId="3" borderId="1" xfId="0" applyFont="1" applyFill="1" applyBorder="1" applyAlignment="1">
      <alignment horizontal="left" vertical="center" wrapText="1"/>
    </xf>
    <xf numFmtId="0" fontId="97" fillId="3" borderId="1" xfId="0" applyFont="1" applyFill="1" applyBorder="1" applyAlignment="1">
      <alignment horizontal="center"/>
    </xf>
    <xf numFmtId="0" fontId="98" fillId="3" borderId="1" xfId="0" applyFont="1" applyFill="1" applyBorder="1" applyAlignment="1">
      <alignment horizontal="center" vertical="center"/>
    </xf>
    <xf numFmtId="0" fontId="9" fillId="3" borderId="1" xfId="0" applyFont="1" applyFill="1" applyBorder="1" applyAlignment="1">
      <alignment horizontal="left" vertical="top" wrapText="1"/>
    </xf>
    <xf numFmtId="0" fontId="9" fillId="3" borderId="1" xfId="0" applyFont="1" applyFill="1" applyBorder="1" applyAlignment="1">
      <alignment horizontal="left" vertical="top" wrapText="1"/>
    </xf>
    <xf numFmtId="0" fontId="9" fillId="3" borderId="1" xfId="0" applyFont="1" applyFill="1" applyBorder="1" applyAlignment="1">
      <alignment horizontal="left" vertical="top" wrapText="1"/>
    </xf>
    <xf numFmtId="0" fontId="99" fillId="0" borderId="1" xfId="0" applyFont="1" applyBorder="1" applyAlignment="1">
      <alignment horizontal="left" vertical="center"/>
    </xf>
    <xf numFmtId="0" fontId="9" fillId="0" borderId="1" xfId="0" applyFont="1" applyBorder="1" applyAlignment="1">
      <alignment horizontal="center" vertical="center"/>
    </xf>
    <xf numFmtId="0" fontId="15" fillId="0" borderId="1" xfId="0" applyFont="1" applyBorder="1" applyAlignment="1">
      <alignment horizontal="left" vertical="center"/>
    </xf>
    <xf numFmtId="0" fontId="100" fillId="3" borderId="1" xfId="0" applyFont="1" applyFill="1" applyBorder="1" applyAlignment="1">
      <alignment horizontal="center"/>
    </xf>
    <xf numFmtId="166" fontId="9" fillId="0" borderId="1" xfId="0" applyNumberFormat="1" applyFont="1" applyBorder="1" applyAlignment="1">
      <alignment horizontal="center" vertical="center"/>
    </xf>
    <xf numFmtId="0" fontId="4" fillId="14"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0" borderId="1" xfId="0" applyFont="1" applyBorder="1" applyAlignment="1">
      <alignment horizontal="center" vertical="center"/>
    </xf>
    <xf numFmtId="0" fontId="9" fillId="0" borderId="1" xfId="0" applyFont="1" applyBorder="1" applyAlignment="1">
      <alignment vertical="center" wrapText="1"/>
    </xf>
    <xf numFmtId="0" fontId="4" fillId="0" borderId="4" xfId="0" applyFont="1" applyBorder="1" applyAlignment="1">
      <alignment horizontal="left" vertical="center"/>
    </xf>
    <xf numFmtId="0" fontId="9" fillId="0" borderId="1" xfId="0" applyFont="1" applyBorder="1" applyAlignment="1">
      <alignment horizontal="left" vertical="center"/>
    </xf>
    <xf numFmtId="0" fontId="9" fillId="0" borderId="1" xfId="0" applyFont="1" applyBorder="1" applyAlignment="1">
      <alignment horizontal="center" vertical="center"/>
    </xf>
    <xf numFmtId="14" fontId="9" fillId="0" borderId="1" xfId="0" applyNumberFormat="1" applyFont="1" applyBorder="1" applyAlignment="1">
      <alignment horizontal="center" vertical="center"/>
    </xf>
    <xf numFmtId="14" fontId="9" fillId="0" borderId="0" xfId="0" applyNumberFormat="1" applyFont="1" applyAlignment="1">
      <alignment vertical="center"/>
    </xf>
    <xf numFmtId="1" fontId="9" fillId="0" borderId="1" xfId="0" applyNumberFormat="1" applyFont="1" applyBorder="1" applyAlignment="1">
      <alignment horizontal="center" vertical="center" wrapText="1"/>
    </xf>
    <xf numFmtId="0" fontId="9" fillId="0" borderId="1" xfId="0" applyFont="1" applyBorder="1" applyAlignment="1">
      <alignment horizontal="left" vertical="top" wrapText="1"/>
    </xf>
    <xf numFmtId="0" fontId="51" fillId="0" borderId="10" xfId="0" applyFont="1" applyBorder="1"/>
    <xf numFmtId="0" fontId="4" fillId="0" borderId="11" xfId="0" applyFont="1" applyBorder="1" applyAlignment="1">
      <alignment horizontal="center" vertical="center" wrapText="1"/>
    </xf>
    <xf numFmtId="0" fontId="51" fillId="0" borderId="12" xfId="0" applyFont="1" applyBorder="1"/>
    <xf numFmtId="0" fontId="9" fillId="0" borderId="1" xfId="0" applyFont="1" applyBorder="1" applyAlignment="1">
      <alignment horizontal="left" vertical="center" wrapText="1"/>
    </xf>
    <xf numFmtId="0" fontId="4" fillId="0" borderId="1" xfId="0" applyFont="1" applyBorder="1" applyAlignment="1">
      <alignment horizontal="left" vertical="center" wrapText="1"/>
    </xf>
    <xf numFmtId="0" fontId="9" fillId="0" borderId="1" xfId="0" applyFont="1" applyBorder="1" applyAlignment="1">
      <alignment horizontal="center" vertical="center" wrapText="1"/>
    </xf>
    <xf numFmtId="0" fontId="4" fillId="0" borderId="4" xfId="0" applyFont="1" applyBorder="1" applyAlignment="1">
      <alignment vertical="center"/>
    </xf>
    <xf numFmtId="0" fontId="4" fillId="0" borderId="1" xfId="0" applyFont="1" applyBorder="1" applyAlignment="1">
      <alignment horizontal="left" vertical="center"/>
    </xf>
    <xf numFmtId="0" fontId="4"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top" wrapText="1"/>
    </xf>
    <xf numFmtId="0" fontId="4" fillId="0" borderId="1" xfId="0" applyFont="1" applyBorder="1" applyAlignment="1">
      <alignment wrapText="1"/>
    </xf>
    <xf numFmtId="0" fontId="9" fillId="0" borderId="1" xfId="0" applyFont="1" applyBorder="1"/>
    <xf numFmtId="14" fontId="9" fillId="0" borderId="1" xfId="0" applyNumberFormat="1" applyFont="1" applyBorder="1" applyAlignment="1">
      <alignment vertical="center"/>
    </xf>
    <xf numFmtId="0" fontId="9" fillId="0" borderId="1" xfId="0" applyFont="1" applyBorder="1" applyAlignment="1">
      <alignment vertical="top" wrapText="1"/>
    </xf>
    <xf numFmtId="0" fontId="101" fillId="0" borderId="0" xfId="0" applyFont="1" applyAlignment="1">
      <alignment vertical="top" wrapText="1"/>
    </xf>
    <xf numFmtId="0" fontId="4" fillId="4" borderId="5"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0" borderId="4" xfId="0" applyFont="1" applyBorder="1" applyAlignment="1">
      <alignment horizontal="left" vertical="center" wrapText="1"/>
    </xf>
    <xf numFmtId="0" fontId="9" fillId="0" borderId="4" xfId="0" applyFont="1" applyBorder="1" applyAlignment="1">
      <alignment horizontal="center" vertical="center" wrapText="1"/>
    </xf>
    <xf numFmtId="14" fontId="9" fillId="0" borderId="4" xfId="0" applyNumberFormat="1" applyFont="1" applyBorder="1" applyAlignment="1">
      <alignment horizontal="center" vertical="center"/>
    </xf>
    <xf numFmtId="1" fontId="9" fillId="0" borderId="4" xfId="0" applyNumberFormat="1" applyFont="1" applyBorder="1" applyAlignment="1">
      <alignment horizontal="center" vertical="center" wrapText="1"/>
    </xf>
    <xf numFmtId="0" fontId="9" fillId="0" borderId="4" xfId="0" applyFont="1" applyBorder="1" applyAlignment="1">
      <alignment horizontal="center" vertical="center"/>
    </xf>
    <xf numFmtId="0" fontId="9" fillId="0" borderId="4" xfId="0" applyFont="1" applyBorder="1" applyAlignment="1">
      <alignment horizontal="left" vertical="top" wrapText="1"/>
    </xf>
    <xf numFmtId="0" fontId="4" fillId="0" borderId="13" xfId="0" applyFont="1" applyBorder="1" applyAlignment="1">
      <alignment horizontal="center" vertical="center"/>
    </xf>
    <xf numFmtId="14" fontId="4" fillId="0" borderId="1" xfId="0" applyNumberFormat="1" applyFont="1" applyBorder="1" applyAlignment="1">
      <alignment horizontal="left" vertical="top" wrapText="1"/>
    </xf>
    <xf numFmtId="0" fontId="51" fillId="0" borderId="14" xfId="0" applyFont="1" applyBorder="1"/>
    <xf numFmtId="0" fontId="4" fillId="4" borderId="1" xfId="0" applyFont="1" applyFill="1" applyBorder="1" applyAlignment="1">
      <alignment horizontal="center" vertical="center"/>
    </xf>
    <xf numFmtId="0" fontId="4" fillId="4" borderId="9" xfId="0" applyFont="1" applyFill="1" applyBorder="1" applyAlignment="1">
      <alignment horizontal="center" vertical="center" wrapText="1"/>
    </xf>
    <xf numFmtId="0" fontId="4" fillId="0" borderId="15" xfId="0" applyFont="1" applyBorder="1" applyAlignment="1">
      <alignment vertical="center"/>
    </xf>
    <xf numFmtId="0" fontId="4" fillId="4" borderId="5" xfId="0" applyFont="1" applyFill="1" applyBorder="1" applyAlignment="1">
      <alignment horizontal="center" vertical="center"/>
    </xf>
    <xf numFmtId="0" fontId="9" fillId="0" borderId="4" xfId="0" applyFont="1" applyBorder="1" applyAlignment="1">
      <alignment horizontal="left" vertical="center" wrapText="1"/>
    </xf>
    <xf numFmtId="0" fontId="18" fillId="4" borderId="1" xfId="0" applyFont="1" applyFill="1" applyBorder="1" applyAlignment="1">
      <alignment horizontal="center" vertical="center"/>
    </xf>
    <xf numFmtId="0" fontId="18" fillId="0" borderId="4" xfId="0" applyFont="1" applyBorder="1" applyAlignment="1">
      <alignment vertical="center" wrapText="1"/>
    </xf>
    <xf numFmtId="0" fontId="15" fillId="0" borderId="1" xfId="0" applyFont="1" applyBorder="1" applyAlignment="1">
      <alignment horizontal="left" vertical="center"/>
    </xf>
    <xf numFmtId="0" fontId="18" fillId="4" borderId="9" xfId="0" applyFont="1" applyFill="1" applyBorder="1" applyAlignment="1">
      <alignment horizontal="center" vertical="center" wrapText="1"/>
    </xf>
    <xf numFmtId="0" fontId="18" fillId="0" borderId="16" xfId="0" applyFont="1" applyBorder="1" applyAlignment="1">
      <alignment vertical="center" wrapText="1"/>
    </xf>
    <xf numFmtId="0" fontId="18" fillId="0" borderId="17" xfId="0" applyFont="1" applyBorder="1" applyAlignment="1">
      <alignment horizontal="left" vertical="center" wrapText="1"/>
    </xf>
    <xf numFmtId="0" fontId="15" fillId="0" borderId="17" xfId="0" applyFont="1" applyBorder="1" applyAlignment="1">
      <alignment horizontal="center" vertical="center"/>
    </xf>
    <xf numFmtId="14" fontId="15" fillId="0" borderId="17" xfId="0" applyNumberFormat="1" applyFont="1" applyBorder="1" applyAlignment="1">
      <alignment horizontal="center" vertical="center"/>
    </xf>
    <xf numFmtId="14" fontId="15" fillId="0" borderId="10" xfId="0" applyNumberFormat="1" applyFont="1" applyBorder="1"/>
    <xf numFmtId="1" fontId="15" fillId="0" borderId="10" xfId="0" applyNumberFormat="1" applyFont="1" applyBorder="1" applyAlignment="1">
      <alignment horizontal="center" vertical="center" wrapText="1"/>
    </xf>
    <xf numFmtId="0" fontId="15" fillId="0" borderId="17" xfId="0" applyFont="1" applyBorder="1" applyAlignment="1">
      <alignment horizontal="left" vertical="top" wrapText="1"/>
    </xf>
    <xf numFmtId="0" fontId="18" fillId="0" borderId="15" xfId="0" applyFont="1" applyBorder="1" applyAlignment="1">
      <alignment vertical="center" wrapText="1"/>
    </xf>
    <xf numFmtId="0" fontId="18" fillId="0" borderId="1" xfId="0" applyFont="1" applyBorder="1" applyAlignment="1">
      <alignment horizontal="left" vertical="center" wrapText="1"/>
    </xf>
    <xf numFmtId="14" fontId="15" fillId="0" borderId="1" xfId="0" applyNumberFormat="1" applyFont="1" applyBorder="1"/>
    <xf numFmtId="0" fontId="15" fillId="0" borderId="1" xfId="0" applyFont="1" applyBorder="1" applyAlignment="1">
      <alignment vertical="top" wrapText="1"/>
    </xf>
    <xf numFmtId="0" fontId="18" fillId="4" borderId="5" xfId="0" applyFont="1" applyFill="1" applyBorder="1" applyAlignment="1">
      <alignment horizontal="center" vertical="center" wrapText="1"/>
    </xf>
    <xf numFmtId="0" fontId="15" fillId="0" borderId="1" xfId="0" applyFont="1" applyBorder="1" applyAlignment="1">
      <alignment horizontal="center" vertical="center" wrapText="1"/>
    </xf>
    <xf numFmtId="0" fontId="18" fillId="0" borderId="1" xfId="0" applyFont="1" applyBorder="1" applyAlignment="1">
      <alignment horizontal="left" vertical="top" wrapText="1"/>
    </xf>
    <xf numFmtId="0" fontId="18" fillId="0" borderId="1" xfId="0" applyFont="1" applyBorder="1" applyAlignment="1">
      <alignment horizontal="center" vertical="center" wrapText="1"/>
    </xf>
    <xf numFmtId="0" fontId="15" fillId="0" borderId="0" xfId="0" applyFont="1" applyAlignment="1">
      <alignment horizontal="left" vertical="center"/>
    </xf>
    <xf numFmtId="0" fontId="102" fillId="0" borderId="0" xfId="0" applyFont="1" applyAlignment="1">
      <alignment horizontal="left" vertical="center"/>
    </xf>
    <xf numFmtId="0" fontId="18" fillId="0" borderId="4" xfId="0" applyFont="1" applyBorder="1" applyAlignment="1">
      <alignment horizontal="center" vertical="center" wrapText="1"/>
    </xf>
    <xf numFmtId="0" fontId="18" fillId="0" borderId="4" xfId="0" applyFont="1" applyBorder="1" applyAlignment="1">
      <alignment horizontal="center" vertical="center"/>
    </xf>
    <xf numFmtId="0" fontId="18" fillId="4" borderId="5" xfId="0" applyFont="1" applyFill="1" applyBorder="1" applyAlignment="1">
      <alignment horizontal="center" vertical="center"/>
    </xf>
    <xf numFmtId="0" fontId="51" fillId="0" borderId="17" xfId="0" applyFont="1" applyBorder="1"/>
    <xf numFmtId="0" fontId="15" fillId="0" borderId="4" xfId="0" applyFont="1" applyBorder="1" applyAlignment="1">
      <alignment horizontal="left" vertical="center"/>
    </xf>
    <xf numFmtId="0" fontId="15" fillId="0" borderId="4" xfId="0" applyFont="1" applyBorder="1" applyAlignment="1">
      <alignment horizontal="center"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left" vertical="top" wrapText="1"/>
    </xf>
    <xf numFmtId="0" fontId="18" fillId="0" borderId="17" xfId="0" applyFont="1" applyBorder="1" applyAlignment="1">
      <alignment horizontal="center" vertical="center" wrapText="1"/>
    </xf>
    <xf numFmtId="0" fontId="18" fillId="0" borderId="10" xfId="0" applyFont="1" applyBorder="1" applyAlignment="1">
      <alignment horizontal="left" vertical="center" wrapText="1"/>
    </xf>
    <xf numFmtId="0" fontId="15" fillId="0" borderId="10" xfId="0" applyFont="1" applyBorder="1" applyAlignment="1">
      <alignment horizontal="center" vertical="center"/>
    </xf>
    <xf numFmtId="14" fontId="15" fillId="0" borderId="10" xfId="0" applyNumberFormat="1" applyFont="1" applyBorder="1" applyAlignment="1">
      <alignment vertical="center"/>
    </xf>
    <xf numFmtId="0" fontId="15" fillId="0" borderId="10" xfId="0" applyFont="1" applyBorder="1" applyAlignment="1">
      <alignment vertical="top" wrapText="1"/>
    </xf>
    <xf numFmtId="0" fontId="18" fillId="4" borderId="8" xfId="0" applyFont="1" applyFill="1" applyBorder="1" applyAlignment="1">
      <alignment horizontal="center" vertical="center" wrapText="1"/>
    </xf>
    <xf numFmtId="14" fontId="15" fillId="0" borderId="17" xfId="0" applyNumberFormat="1" applyFont="1" applyBorder="1"/>
    <xf numFmtId="0" fontId="15" fillId="0" borderId="17" xfId="0" applyFont="1" applyBorder="1" applyAlignment="1">
      <alignment vertical="top" wrapText="1"/>
    </xf>
    <xf numFmtId="0" fontId="18" fillId="4" borderId="1" xfId="0" applyFont="1" applyFill="1" applyBorder="1" applyAlignment="1">
      <alignment horizontal="center" vertical="center" wrapText="1"/>
    </xf>
    <xf numFmtId="0" fontId="18" fillId="0" borderId="17" xfId="0" applyFont="1" applyBorder="1" applyAlignment="1">
      <alignment vertical="center" wrapText="1"/>
    </xf>
    <xf numFmtId="0" fontId="15" fillId="0" borderId="10" xfId="0" applyFont="1" applyBorder="1" applyAlignment="1">
      <alignment horizontal="center" vertical="center" wrapText="1"/>
    </xf>
    <xf numFmtId="0" fontId="18" fillId="0" borderId="10" xfId="0" applyFont="1" applyBorder="1" applyAlignment="1">
      <alignment wrapText="1"/>
    </xf>
    <xf numFmtId="0" fontId="15" fillId="0" borderId="10" xfId="0" applyFont="1" applyBorder="1"/>
    <xf numFmtId="0" fontId="15" fillId="0" borderId="10" xfId="0" applyFont="1" applyBorder="1" applyAlignment="1">
      <alignment horizontal="center" wrapText="1"/>
    </xf>
    <xf numFmtId="0" fontId="15" fillId="0" borderId="10" xfId="0" applyFont="1" applyBorder="1" applyAlignment="1">
      <alignment wrapText="1"/>
    </xf>
    <xf numFmtId="0" fontId="18" fillId="11" borderId="18" xfId="0" applyFont="1" applyFill="1" applyBorder="1" applyAlignment="1">
      <alignment horizontal="center" vertical="center" wrapText="1"/>
    </xf>
    <xf numFmtId="0" fontId="18" fillId="11" borderId="5" xfId="0" applyFont="1" applyFill="1" applyBorder="1" applyAlignment="1">
      <alignment vertical="center" wrapText="1"/>
    </xf>
    <xf numFmtId="0" fontId="15" fillId="11" borderId="1" xfId="0" applyFont="1" applyFill="1" applyBorder="1" applyAlignment="1">
      <alignment horizontal="left" vertical="center"/>
    </xf>
    <xf numFmtId="0" fontId="15" fillId="11" borderId="1" xfId="0" applyFont="1" applyFill="1" applyBorder="1" applyAlignment="1">
      <alignment horizontal="center" vertical="center"/>
    </xf>
    <xf numFmtId="0" fontId="15" fillId="11" borderId="1" xfId="0" applyFont="1" applyFill="1" applyBorder="1" applyAlignment="1">
      <alignment horizontal="left" vertical="top" wrapText="1"/>
    </xf>
    <xf numFmtId="0" fontId="18" fillId="11" borderId="1" xfId="0" applyFont="1" applyFill="1" applyBorder="1" applyAlignment="1">
      <alignment horizontal="left" vertical="center" wrapText="1"/>
    </xf>
    <xf numFmtId="0" fontId="18" fillId="0" borderId="13" xfId="0" applyFont="1" applyBorder="1" applyAlignment="1">
      <alignment vertical="center" wrapText="1"/>
    </xf>
    <xf numFmtId="0" fontId="15" fillId="0" borderId="1" xfId="0" applyFont="1" applyBorder="1" applyAlignment="1">
      <alignment wrapText="1"/>
    </xf>
    <xf numFmtId="0" fontId="15" fillId="0" borderId="1" xfId="0" applyFont="1" applyBorder="1"/>
    <xf numFmtId="0" fontId="15" fillId="0" borderId="0" xfId="0" applyFont="1" applyAlignment="1">
      <alignment horizontal="left"/>
    </xf>
    <xf numFmtId="0" fontId="15" fillId="0" borderId="4" xfId="0" applyFont="1" applyBorder="1" applyAlignment="1">
      <alignment wrapText="1"/>
    </xf>
    <xf numFmtId="0" fontId="15" fillId="0" borderId="17" xfId="0" applyFont="1" applyBorder="1" applyAlignment="1">
      <alignment wrapText="1"/>
    </xf>
    <xf numFmtId="0" fontId="15" fillId="0" borderId="19" xfId="0" applyFont="1" applyBorder="1" applyAlignment="1">
      <alignment horizontal="center" vertical="center"/>
    </xf>
    <xf numFmtId="0" fontId="15" fillId="0" borderId="10" xfId="0" applyFont="1" applyBorder="1" applyAlignment="1">
      <alignment horizontal="left" vertical="center"/>
    </xf>
    <xf numFmtId="0" fontId="15" fillId="11" borderId="9" xfId="0" applyFont="1" applyFill="1" applyBorder="1" applyAlignment="1">
      <alignment horizontal="center" vertical="center"/>
    </xf>
    <xf numFmtId="14" fontId="15" fillId="11" borderId="20" xfId="0" applyNumberFormat="1" applyFont="1" applyFill="1" applyBorder="1" applyAlignment="1">
      <alignment horizontal="center" vertical="center"/>
    </xf>
    <xf numFmtId="14" fontId="15" fillId="11" borderId="9" xfId="0" applyNumberFormat="1" applyFont="1" applyFill="1" applyBorder="1" applyAlignment="1">
      <alignment horizontal="center" vertical="center"/>
    </xf>
    <xf numFmtId="0" fontId="15" fillId="11" borderId="9" xfId="0" applyFont="1" applyFill="1" applyBorder="1" applyAlignment="1">
      <alignment horizontal="left" vertical="top" wrapText="1"/>
    </xf>
    <xf numFmtId="14" fontId="15" fillId="0" borderId="21" xfId="0" applyNumberFormat="1" applyFont="1" applyBorder="1" applyAlignment="1">
      <alignment horizontal="center" vertical="center"/>
    </xf>
    <xf numFmtId="14" fontId="15" fillId="0" borderId="10" xfId="0" applyNumberFormat="1" applyFont="1" applyBorder="1" applyAlignment="1">
      <alignment horizontal="center" vertical="center"/>
    </xf>
    <xf numFmtId="0" fontId="15" fillId="0" borderId="10" xfId="0" applyFont="1" applyBorder="1" applyAlignment="1">
      <alignment horizontal="left" vertical="top" wrapText="1"/>
    </xf>
    <xf numFmtId="14" fontId="15" fillId="0" borderId="1" xfId="0" applyNumberFormat="1" applyFont="1" applyBorder="1" applyAlignment="1">
      <alignment vertical="center"/>
    </xf>
    <xf numFmtId="0" fontId="15" fillId="0" borderId="15" xfId="0" applyFont="1" applyBorder="1" applyAlignment="1">
      <alignment wrapText="1"/>
    </xf>
    <xf numFmtId="0" fontId="15" fillId="0" borderId="19" xfId="0" applyFont="1" applyBorder="1" applyAlignment="1">
      <alignment vertical="center" wrapText="1"/>
    </xf>
    <xf numFmtId="0" fontId="103" fillId="0" borderId="17" xfId="0" applyFont="1" applyBorder="1" applyAlignment="1">
      <alignment horizontal="left" vertical="center"/>
    </xf>
    <xf numFmtId="1" fontId="15" fillId="0" borderId="17" xfId="0" applyNumberFormat="1" applyFont="1" applyBorder="1" applyAlignment="1">
      <alignment horizontal="center" vertical="center" wrapText="1"/>
    </xf>
    <xf numFmtId="0" fontId="18" fillId="0" borderId="17" xfId="0" applyFont="1" applyBorder="1" applyAlignment="1">
      <alignment horizontal="left" vertical="top" wrapText="1"/>
    </xf>
    <xf numFmtId="14" fontId="18" fillId="11" borderId="18" xfId="0" applyNumberFormat="1" applyFont="1" applyFill="1" applyBorder="1" applyAlignment="1">
      <alignment horizontal="center" vertical="center" wrapText="1"/>
    </xf>
    <xf numFmtId="0" fontId="18" fillId="11" borderId="18" xfId="0" applyFont="1" applyFill="1" applyBorder="1" applyAlignment="1">
      <alignment horizontal="left" vertical="center" wrapText="1"/>
    </xf>
    <xf numFmtId="0" fontId="18" fillId="0" borderId="15" xfId="0" applyFont="1" applyBorder="1" applyAlignment="1">
      <alignment horizontal="center" vertical="center" wrapText="1"/>
    </xf>
    <xf numFmtId="0" fontId="15" fillId="11" borderId="5" xfId="0" applyFont="1" applyFill="1" applyBorder="1" applyAlignment="1">
      <alignment vertical="center" wrapText="1"/>
    </xf>
    <xf numFmtId="0" fontId="18" fillId="11" borderId="8" xfId="0" applyFont="1" applyFill="1" applyBorder="1" applyAlignment="1">
      <alignment wrapText="1"/>
    </xf>
    <xf numFmtId="0" fontId="15" fillId="11" borderId="5" xfId="0" applyFont="1" applyFill="1" applyBorder="1" applyAlignment="1">
      <alignment wrapText="1"/>
    </xf>
    <xf numFmtId="0" fontId="15" fillId="11" borderId="5" xfId="0" applyFont="1" applyFill="1" applyBorder="1" applyAlignment="1">
      <alignment horizontal="center" vertical="center" wrapText="1"/>
    </xf>
    <xf numFmtId="14" fontId="15" fillId="11" borderId="5" xfId="0" applyNumberFormat="1" applyFont="1" applyFill="1" applyBorder="1" applyAlignment="1">
      <alignment vertical="center"/>
    </xf>
    <xf numFmtId="0" fontId="15" fillId="11" borderId="8" xfId="0" applyFont="1" applyFill="1" applyBorder="1" applyAlignment="1">
      <alignment vertical="center"/>
    </xf>
    <xf numFmtId="14" fontId="15" fillId="11" borderId="8" xfId="0" applyNumberFormat="1" applyFont="1" applyFill="1" applyBorder="1" applyAlignment="1">
      <alignment horizontal="center" vertical="center"/>
    </xf>
    <xf numFmtId="1" fontId="15" fillId="11" borderId="8" xfId="0" applyNumberFormat="1" applyFont="1" applyFill="1" applyBorder="1" applyAlignment="1">
      <alignment horizontal="center" vertical="center" wrapText="1"/>
    </xf>
    <xf numFmtId="14" fontId="15" fillId="11" borderId="8" xfId="0" applyNumberFormat="1" applyFont="1" applyFill="1" applyBorder="1" applyAlignment="1">
      <alignment vertical="center"/>
    </xf>
    <xf numFmtId="0" fontId="15" fillId="11" borderId="8" xfId="0" applyFont="1" applyFill="1" applyBorder="1" applyAlignment="1">
      <alignment vertical="center" wrapText="1"/>
    </xf>
    <xf numFmtId="0" fontId="15" fillId="0" borderId="17" xfId="0" applyFont="1" applyBorder="1" applyAlignment="1">
      <alignment horizontal="left" vertical="center" wrapText="1"/>
    </xf>
    <xf numFmtId="14" fontId="15" fillId="0" borderId="12" xfId="0" applyNumberFormat="1" applyFont="1" applyBorder="1" applyAlignment="1">
      <alignment horizontal="center" vertical="center"/>
    </xf>
    <xf numFmtId="0" fontId="15" fillId="0" borderId="1" xfId="0" applyFont="1" applyBorder="1" applyAlignment="1">
      <alignment horizontal="center" vertical="top" wrapText="1"/>
    </xf>
    <xf numFmtId="0" fontId="18" fillId="0" borderId="4" xfId="0" applyFont="1" applyBorder="1" applyAlignment="1">
      <alignment horizontal="left" vertical="center"/>
    </xf>
    <xf numFmtId="0" fontId="15" fillId="11" borderId="1" xfId="0" applyFont="1" applyFill="1" applyBorder="1" applyAlignment="1">
      <alignment vertical="center"/>
    </xf>
    <xf numFmtId="0" fontId="15" fillId="0" borderId="10" xfId="0" applyFont="1" applyBorder="1" applyAlignment="1">
      <alignment horizontal="left" vertical="center" wrapText="1"/>
    </xf>
    <xf numFmtId="0" fontId="15" fillId="0" borderId="19" xfId="0" applyFont="1" applyBorder="1" applyAlignment="1">
      <alignment horizontal="left" vertical="center" wrapText="1"/>
    </xf>
    <xf numFmtId="14" fontId="15" fillId="0" borderId="2" xfId="0" applyNumberFormat="1" applyFont="1" applyBorder="1" applyAlignment="1">
      <alignment horizontal="center" vertical="center"/>
    </xf>
    <xf numFmtId="0" fontId="15" fillId="4" borderId="5" xfId="0" applyFont="1" applyFill="1" applyBorder="1" applyAlignment="1">
      <alignment wrapText="1"/>
    </xf>
    <xf numFmtId="0" fontId="15" fillId="0" borderId="11" xfId="0" applyFont="1" applyBorder="1" applyAlignment="1">
      <alignment horizontal="center" vertical="center"/>
    </xf>
    <xf numFmtId="14" fontId="15" fillId="0" borderId="11" xfId="0" applyNumberFormat="1" applyFont="1" applyBorder="1" applyAlignment="1">
      <alignment horizontal="center" vertical="center"/>
    </xf>
    <xf numFmtId="0" fontId="15" fillId="4" borderId="1" xfId="0" applyFont="1" applyFill="1" applyBorder="1" applyAlignment="1">
      <alignment horizontal="left" vertical="center" wrapText="1"/>
    </xf>
    <xf numFmtId="0" fontId="18" fillId="0" borderId="1" xfId="0" applyFont="1" applyBorder="1" applyAlignment="1">
      <alignment vertical="center"/>
    </xf>
    <xf numFmtId="14" fontId="18" fillId="0" borderId="4" xfId="0" applyNumberFormat="1" applyFont="1" applyBorder="1" applyAlignment="1">
      <alignment horizontal="center" vertical="center"/>
    </xf>
    <xf numFmtId="14" fontId="18" fillId="0" borderId="4" xfId="0" applyNumberFormat="1" applyFont="1" applyBorder="1" applyAlignment="1">
      <alignment horizontal="center" vertical="center" wrapText="1"/>
    </xf>
    <xf numFmtId="0" fontId="18" fillId="0" borderId="4" xfId="0" applyFont="1" applyBorder="1" applyAlignment="1">
      <alignment horizontal="center" vertical="top" wrapText="1"/>
    </xf>
    <xf numFmtId="0" fontId="18" fillId="11" borderId="5" xfId="0" applyFont="1" applyFill="1" applyBorder="1" applyAlignment="1">
      <alignment horizontal="center" vertical="center"/>
    </xf>
    <xf numFmtId="0" fontId="18" fillId="11" borderId="5" xfId="0" applyFont="1" applyFill="1" applyBorder="1" applyAlignment="1">
      <alignment horizontal="left" vertical="center" wrapText="1"/>
    </xf>
    <xf numFmtId="0" fontId="15" fillId="11" borderId="8" xfId="0" applyFont="1" applyFill="1" applyBorder="1" applyAlignment="1">
      <alignment horizontal="left" vertical="center"/>
    </xf>
    <xf numFmtId="14" fontId="15" fillId="11" borderId="5" xfId="0" applyNumberFormat="1" applyFont="1" applyFill="1" applyBorder="1" applyAlignment="1">
      <alignment horizontal="center" vertical="center"/>
    </xf>
    <xf numFmtId="1" fontId="15" fillId="11" borderId="5" xfId="0" applyNumberFormat="1" applyFont="1" applyFill="1" applyBorder="1" applyAlignment="1">
      <alignment horizontal="center" vertical="center" wrapText="1"/>
    </xf>
    <xf numFmtId="0" fontId="15" fillId="11" borderId="5" xfId="0" applyFont="1" applyFill="1" applyBorder="1" applyAlignment="1">
      <alignment horizontal="left" vertical="top" wrapText="1"/>
    </xf>
    <xf numFmtId="0" fontId="18" fillId="11" borderId="1" xfId="0" applyFont="1" applyFill="1" applyBorder="1" applyAlignment="1">
      <alignment horizontal="left" vertical="top" wrapText="1"/>
    </xf>
    <xf numFmtId="0" fontId="15" fillId="11" borderId="5" xfId="0" applyFont="1" applyFill="1" applyBorder="1" applyAlignment="1">
      <alignment horizontal="center" vertical="center"/>
    </xf>
    <xf numFmtId="14" fontId="18" fillId="11" borderId="5" xfId="0" applyNumberFormat="1" applyFont="1" applyFill="1" applyBorder="1" applyAlignment="1">
      <alignment horizontal="center" vertical="center"/>
    </xf>
    <xf numFmtId="0" fontId="18" fillId="11" borderId="5" xfId="0" applyFont="1" applyFill="1" applyBorder="1" applyAlignment="1">
      <alignment horizontal="left" vertical="top" wrapText="1"/>
    </xf>
    <xf numFmtId="14" fontId="15" fillId="0" borderId="1" xfId="0" applyNumberFormat="1" applyFont="1" applyBorder="1" applyAlignment="1">
      <alignment horizontal="center"/>
    </xf>
    <xf numFmtId="0" fontId="51" fillId="0" borderId="1" xfId="0" applyFont="1" applyBorder="1"/>
    <xf numFmtId="14" fontId="51" fillId="0" borderId="1" xfId="0" applyNumberFormat="1" applyFont="1" applyBorder="1"/>
    <xf numFmtId="0" fontId="18" fillId="12" borderId="1" xfId="0" applyFont="1" applyFill="1" applyBorder="1" applyAlignment="1">
      <alignment horizontal="left" vertical="center" wrapText="1"/>
    </xf>
    <xf numFmtId="0" fontId="18" fillId="12" borderId="1" xfId="0" applyFont="1" applyFill="1" applyBorder="1" applyAlignment="1">
      <alignment horizontal="center" vertical="center" wrapText="1"/>
    </xf>
    <xf numFmtId="14" fontId="18" fillId="12" borderId="1" xfId="0" applyNumberFormat="1" applyFont="1" applyFill="1" applyBorder="1" applyAlignment="1">
      <alignment horizontal="center" vertical="center"/>
    </xf>
    <xf numFmtId="0" fontId="18" fillId="12" borderId="1" xfId="0" applyFont="1" applyFill="1" applyBorder="1" applyAlignment="1">
      <alignment horizontal="left" vertical="top" wrapText="1"/>
    </xf>
    <xf numFmtId="0" fontId="15" fillId="12" borderId="7" xfId="0" applyFont="1" applyFill="1" applyBorder="1" applyAlignment="1">
      <alignment horizontal="left" vertical="center"/>
    </xf>
    <xf numFmtId="0" fontId="15" fillId="12" borderId="7" xfId="0" applyFont="1" applyFill="1" applyBorder="1" applyAlignment="1">
      <alignment horizontal="center" vertical="center"/>
    </xf>
    <xf numFmtId="0" fontId="51" fillId="12" borderId="7" xfId="0" applyFont="1" applyFill="1" applyBorder="1"/>
    <xf numFmtId="0" fontId="18" fillId="3" borderId="1" xfId="0" applyFont="1" applyFill="1" applyBorder="1" applyAlignment="1">
      <alignment horizontal="center" vertical="center"/>
    </xf>
    <xf numFmtId="14" fontId="15" fillId="0" borderId="1" xfId="0" applyNumberFormat="1" applyFont="1" applyBorder="1" applyAlignment="1">
      <alignment horizontal="center" vertical="center" wrapText="1"/>
    </xf>
    <xf numFmtId="1" fontId="15" fillId="3" borderId="1" xfId="0" applyNumberFormat="1" applyFont="1" applyFill="1" applyBorder="1" applyAlignment="1">
      <alignment horizontal="center" vertical="center" wrapText="1"/>
    </xf>
    <xf numFmtId="14" fontId="18" fillId="0" borderId="1" xfId="0" applyNumberFormat="1" applyFont="1" applyBorder="1" applyAlignment="1">
      <alignment horizontal="center" vertical="center"/>
    </xf>
    <xf numFmtId="0" fontId="18" fillId="3" borderId="5" xfId="0" applyFont="1" applyFill="1" applyBorder="1" applyAlignment="1">
      <alignment vertical="center" wrapText="1"/>
    </xf>
    <xf numFmtId="0" fontId="18"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14" fontId="15" fillId="3" borderId="1" xfId="0" applyNumberFormat="1" applyFont="1" applyFill="1" applyBorder="1" applyAlignment="1">
      <alignment horizontal="center" vertical="center"/>
    </xf>
    <xf numFmtId="14" fontId="15" fillId="3" borderId="1" xfId="0" applyNumberFormat="1" applyFont="1" applyFill="1" applyBorder="1" applyAlignment="1">
      <alignment horizontal="center" vertical="center" wrapText="1"/>
    </xf>
    <xf numFmtId="14" fontId="18" fillId="3" borderId="1" xfId="0" applyNumberFormat="1" applyFont="1" applyFill="1" applyBorder="1" applyAlignment="1">
      <alignment horizontal="center" vertical="center"/>
    </xf>
    <xf numFmtId="0" fontId="18" fillId="3" borderId="1" xfId="0" applyFont="1" applyFill="1" applyBorder="1" applyAlignment="1">
      <alignment horizontal="left" vertical="top" wrapText="1"/>
    </xf>
    <xf numFmtId="0" fontId="15" fillId="11" borderId="5" xfId="0" applyFont="1" applyFill="1" applyBorder="1" applyAlignment="1">
      <alignment horizontal="left" vertical="center"/>
    </xf>
    <xf numFmtId="0" fontId="18" fillId="3" borderId="1" xfId="0" applyFont="1" applyFill="1" applyBorder="1" applyAlignment="1">
      <alignment vertical="center" wrapText="1"/>
    </xf>
    <xf numFmtId="0" fontId="15" fillId="3" borderId="1" xfId="0" applyFont="1" applyFill="1" applyBorder="1" applyAlignment="1">
      <alignment horizontal="center" vertical="center" wrapText="1"/>
    </xf>
    <xf numFmtId="14" fontId="18" fillId="3" borderId="6" xfId="0" applyNumberFormat="1" applyFont="1" applyFill="1" applyBorder="1" applyAlignment="1">
      <alignment horizontal="center" vertical="center"/>
    </xf>
    <xf numFmtId="0" fontId="18" fillId="0" borderId="15" xfId="0" applyFont="1" applyBorder="1" applyAlignment="1">
      <alignment vertical="center"/>
    </xf>
    <xf numFmtId="0" fontId="15" fillId="11" borderId="22" xfId="0" applyFont="1" applyFill="1" applyBorder="1" applyAlignment="1">
      <alignment horizontal="center" vertical="center"/>
    </xf>
    <xf numFmtId="0" fontId="18" fillId="3" borderId="5" xfId="0" applyFont="1" applyFill="1" applyBorder="1" applyAlignment="1">
      <alignment horizontal="center" vertical="center"/>
    </xf>
    <xf numFmtId="0" fontId="18" fillId="3" borderId="5" xfId="0" applyFont="1" applyFill="1" applyBorder="1" applyAlignment="1">
      <alignment horizontal="center" vertical="center" wrapText="1"/>
    </xf>
    <xf numFmtId="0" fontId="15" fillId="3" borderId="5" xfId="0" applyFont="1" applyFill="1" applyBorder="1" applyAlignment="1">
      <alignment horizontal="center" vertical="center" wrapText="1"/>
    </xf>
    <xf numFmtId="14" fontId="15" fillId="3" borderId="5" xfId="0" applyNumberFormat="1" applyFont="1" applyFill="1" applyBorder="1" applyAlignment="1">
      <alignment horizontal="center" vertical="center"/>
    </xf>
    <xf numFmtId="0" fontId="18" fillId="11" borderId="1" xfId="0" applyFont="1" applyFill="1" applyBorder="1" applyAlignment="1">
      <alignment horizontal="left" vertical="center"/>
    </xf>
    <xf numFmtId="14" fontId="15" fillId="11" borderId="6" xfId="0" applyNumberFormat="1" applyFont="1" applyFill="1" applyBorder="1" applyAlignment="1">
      <alignment horizontal="center" vertical="center"/>
    </xf>
    <xf numFmtId="14" fontId="15" fillId="11" borderId="1" xfId="0" applyNumberFormat="1" applyFont="1" applyFill="1" applyBorder="1" applyAlignment="1">
      <alignment horizontal="left" vertical="top" wrapText="1"/>
    </xf>
    <xf numFmtId="0" fontId="18" fillId="0" borderId="10" xfId="0" applyFont="1" applyBorder="1" applyAlignment="1">
      <alignment horizontal="center" vertical="center" wrapText="1"/>
    </xf>
    <xf numFmtId="0" fontId="51" fillId="4" borderId="1" xfId="0" applyFont="1" applyFill="1" applyBorder="1" applyAlignment="1">
      <alignment wrapText="1"/>
    </xf>
    <xf numFmtId="14" fontId="51" fillId="0" borderId="1" xfId="0" applyNumberFormat="1" applyFont="1" applyBorder="1" applyAlignment="1">
      <alignment horizontal="center"/>
    </xf>
    <xf numFmtId="0" fontId="51" fillId="0" borderId="1" xfId="0" applyFont="1" applyBorder="1" applyAlignment="1">
      <alignment vertical="top" wrapText="1"/>
    </xf>
    <xf numFmtId="0" fontId="18" fillId="11" borderId="22" xfId="0" applyFont="1" applyFill="1" applyBorder="1" applyAlignment="1">
      <alignment horizontal="center" vertical="center" wrapText="1"/>
    </xf>
    <xf numFmtId="14" fontId="18" fillId="11" borderId="5" xfId="0" applyNumberFormat="1" applyFont="1" applyFill="1" applyBorder="1" applyAlignment="1">
      <alignment horizontal="left" vertical="top" wrapText="1"/>
    </xf>
    <xf numFmtId="0" fontId="18" fillId="11" borderId="22" xfId="0" applyFont="1" applyFill="1" applyBorder="1" applyAlignment="1">
      <alignment horizontal="center" vertical="center"/>
    </xf>
    <xf numFmtId="0" fontId="18" fillId="11" borderId="23" xfId="0" applyFont="1" applyFill="1" applyBorder="1" applyAlignment="1">
      <alignment horizontal="left" vertical="center" wrapText="1"/>
    </xf>
    <xf numFmtId="1" fontId="15" fillId="11" borderId="9" xfId="0" applyNumberFormat="1" applyFont="1" applyFill="1" applyBorder="1" applyAlignment="1">
      <alignment horizontal="center" vertical="center" wrapText="1"/>
    </xf>
    <xf numFmtId="14" fontId="15" fillId="11" borderId="9" xfId="0" applyNumberFormat="1" applyFont="1" applyFill="1" applyBorder="1" applyAlignment="1">
      <alignment horizontal="left" vertical="top" wrapText="1"/>
    </xf>
    <xf numFmtId="0" fontId="18" fillId="4" borderId="1" xfId="0" applyFont="1" applyFill="1" applyBorder="1" applyAlignment="1">
      <alignment vertical="center"/>
    </xf>
    <xf numFmtId="0" fontId="15" fillId="3" borderId="7" xfId="0" applyFont="1" applyFill="1" applyBorder="1" applyAlignment="1">
      <alignment horizontal="center" vertical="center"/>
    </xf>
    <xf numFmtId="0" fontId="51" fillId="3" borderId="7" xfId="0" applyFont="1" applyFill="1" applyBorder="1"/>
    <xf numFmtId="0" fontId="18" fillId="4" borderId="5" xfId="0" applyFont="1" applyFill="1" applyBorder="1" applyAlignment="1">
      <alignment horizontal="left" vertical="center"/>
    </xf>
    <xf numFmtId="0" fontId="15" fillId="11" borderId="5" xfId="0" applyFont="1" applyFill="1" applyBorder="1" applyAlignment="1">
      <alignment horizontal="left" vertical="center" wrapText="1"/>
    </xf>
    <xf numFmtId="14" fontId="15" fillId="11" borderId="22" xfId="0" applyNumberFormat="1" applyFont="1" applyFill="1" applyBorder="1" applyAlignment="1">
      <alignment horizontal="center" vertical="center"/>
    </xf>
    <xf numFmtId="0" fontId="15" fillId="4" borderId="5" xfId="0" applyFont="1" applyFill="1" applyBorder="1" applyAlignment="1">
      <alignment vertical="center" wrapText="1"/>
    </xf>
    <xf numFmtId="0" fontId="15" fillId="4" borderId="5" xfId="0" applyFont="1" applyFill="1" applyBorder="1" applyAlignment="1">
      <alignment vertical="top" wrapText="1"/>
    </xf>
    <xf numFmtId="0" fontId="15" fillId="0" borderId="4" xfId="0" applyFont="1" applyBorder="1" applyAlignment="1">
      <alignment vertical="center" wrapText="1"/>
    </xf>
    <xf numFmtId="0" fontId="18" fillId="11" borderId="24" xfId="0" applyFont="1" applyFill="1" applyBorder="1" applyAlignment="1">
      <alignment horizontal="center" vertical="center" wrapText="1"/>
    </xf>
    <xf numFmtId="0" fontId="15" fillId="11" borderId="9" xfId="0" applyFont="1" applyFill="1" applyBorder="1" applyAlignment="1">
      <alignment horizontal="left" vertical="center" wrapText="1"/>
    </xf>
    <xf numFmtId="0" fontId="18" fillId="11" borderId="9" xfId="0" applyFont="1" applyFill="1" applyBorder="1" applyAlignment="1">
      <alignment horizontal="center" vertical="center"/>
    </xf>
    <xf numFmtId="0" fontId="15" fillId="11" borderId="18" xfId="0" applyFont="1" applyFill="1" applyBorder="1" applyAlignment="1">
      <alignment horizontal="center" vertical="center" wrapText="1"/>
    </xf>
    <xf numFmtId="0" fontId="15" fillId="0" borderId="4" xfId="0" applyFont="1" applyBorder="1" applyAlignment="1">
      <alignment vertical="top" wrapText="1"/>
    </xf>
    <xf numFmtId="14" fontId="18" fillId="0" borderId="1" xfId="0" applyNumberFormat="1" applyFont="1" applyBorder="1" applyAlignment="1">
      <alignment horizontal="left" vertical="top" wrapText="1"/>
    </xf>
    <xf numFmtId="0" fontId="104" fillId="11" borderId="1" xfId="0" applyFont="1" applyFill="1" applyBorder="1" applyAlignment="1">
      <alignment vertical="center"/>
    </xf>
    <xf numFmtId="0" fontId="51" fillId="11" borderId="1" xfId="0" applyFont="1" applyFill="1" applyBorder="1" applyAlignment="1">
      <alignment vertical="center"/>
    </xf>
    <xf numFmtId="0" fontId="51" fillId="11" borderId="1" xfId="0" applyFont="1" applyFill="1" applyBorder="1" applyAlignment="1">
      <alignment horizontal="center" vertical="center"/>
    </xf>
    <xf numFmtId="14" fontId="51" fillId="11" borderId="1" xfId="0" applyNumberFormat="1" applyFont="1" applyFill="1" applyBorder="1" applyAlignment="1">
      <alignment vertical="center"/>
    </xf>
    <xf numFmtId="0" fontId="51" fillId="11" borderId="1" xfId="0" applyFont="1" applyFill="1" applyBorder="1" applyAlignment="1">
      <alignment vertical="center" wrapText="1"/>
    </xf>
    <xf numFmtId="0" fontId="18" fillId="11" borderId="1" xfId="0" applyFont="1" applyFill="1" applyBorder="1" applyAlignment="1">
      <alignment vertical="top" wrapText="1"/>
    </xf>
    <xf numFmtId="0" fontId="9" fillId="0" borderId="2" xfId="0" applyFont="1" applyBorder="1" applyAlignment="1">
      <alignment vertical="top" wrapText="1"/>
    </xf>
    <xf numFmtId="0" fontId="18" fillId="11" borderId="1" xfId="0" applyFont="1" applyFill="1" applyBorder="1" applyAlignment="1">
      <alignment vertical="center"/>
    </xf>
    <xf numFmtId="0" fontId="15" fillId="11" borderId="5" xfId="0" applyFont="1" applyFill="1" applyBorder="1" applyAlignment="1">
      <alignment vertical="center"/>
    </xf>
    <xf numFmtId="0" fontId="15" fillId="11" borderId="5" xfId="0" applyFont="1" applyFill="1" applyBorder="1" applyAlignment="1">
      <alignment vertical="top" wrapText="1"/>
    </xf>
    <xf numFmtId="14" fontId="15" fillId="11" borderId="7" xfId="0" applyNumberFormat="1" applyFont="1" applyFill="1" applyBorder="1" applyAlignment="1">
      <alignment horizontal="center" vertical="center"/>
    </xf>
    <xf numFmtId="0" fontId="15" fillId="11" borderId="1" xfId="0" applyFont="1" applyFill="1" applyBorder="1" applyAlignment="1">
      <alignment vertical="top" wrapText="1"/>
    </xf>
    <xf numFmtId="14" fontId="15" fillId="11" borderId="1" xfId="0" applyNumberFormat="1" applyFont="1" applyFill="1" applyBorder="1" applyAlignment="1">
      <alignment vertical="top" wrapText="1"/>
    </xf>
    <xf numFmtId="0" fontId="15" fillId="11" borderId="25" xfId="0" applyFont="1" applyFill="1" applyBorder="1" applyAlignment="1">
      <alignment horizontal="center" vertical="center" wrapText="1"/>
    </xf>
    <xf numFmtId="0" fontId="15" fillId="4" borderId="9" xfId="0" applyFont="1" applyFill="1" applyBorder="1" applyAlignment="1">
      <alignment horizontal="left" vertical="center"/>
    </xf>
    <xf numFmtId="0" fontId="15" fillId="4" borderId="5" xfId="0" applyFont="1" applyFill="1" applyBorder="1" applyAlignment="1">
      <alignment horizontal="left" vertical="center"/>
    </xf>
    <xf numFmtId="14" fontId="15" fillId="0" borderId="1" xfId="0" applyNumberFormat="1" applyFont="1" applyBorder="1" applyAlignment="1">
      <alignment vertical="center" wrapText="1"/>
    </xf>
    <xf numFmtId="0" fontId="15" fillId="4" borderId="1" xfId="0" applyFont="1" applyFill="1" applyBorder="1" applyAlignment="1">
      <alignment vertical="center"/>
    </xf>
    <xf numFmtId="0" fontId="51" fillId="0" borderId="0" xfId="0" applyFont="1" applyAlignment="1">
      <alignment wrapText="1"/>
    </xf>
    <xf numFmtId="0" fontId="51" fillId="0" borderId="1" xfId="0" applyFont="1" applyBorder="1" applyAlignment="1">
      <alignment horizontal="left" vertical="center" wrapText="1"/>
    </xf>
    <xf numFmtId="0" fontId="105" fillId="0" borderId="1" xfId="0" applyFont="1" applyBorder="1" applyAlignment="1">
      <alignment horizontal="left" vertical="center" wrapText="1"/>
    </xf>
    <xf numFmtId="0" fontId="18" fillId="4" borderId="7" xfId="0" applyFont="1" applyFill="1" applyBorder="1" applyAlignment="1">
      <alignment horizontal="left" vertical="center" wrapText="1"/>
    </xf>
    <xf numFmtId="14" fontId="15" fillId="11" borderId="1" xfId="0" applyNumberFormat="1" applyFont="1" applyFill="1" applyBorder="1" applyAlignment="1">
      <alignment horizontal="left" vertical="center" wrapText="1"/>
    </xf>
    <xf numFmtId="14" fontId="15" fillId="11" borderId="1" xfId="0" applyNumberFormat="1" applyFont="1" applyFill="1" applyBorder="1"/>
    <xf numFmtId="0" fontId="18" fillId="12" borderId="9" xfId="0" applyFont="1" applyFill="1" applyBorder="1" applyAlignment="1">
      <alignment horizontal="center" vertical="center"/>
    </xf>
    <xf numFmtId="0" fontId="18" fillId="4" borderId="9" xfId="0" applyFont="1" applyFill="1" applyBorder="1" applyAlignment="1">
      <alignment horizontal="left" vertical="center" wrapText="1"/>
    </xf>
    <xf numFmtId="0" fontId="15" fillId="12" borderId="9" xfId="0" applyFont="1" applyFill="1" applyBorder="1" applyAlignment="1">
      <alignment horizontal="left" vertical="center"/>
    </xf>
    <xf numFmtId="0" fontId="15" fillId="12" borderId="9" xfId="0" applyFont="1" applyFill="1" applyBorder="1" applyAlignment="1">
      <alignment horizontal="center" vertical="center"/>
    </xf>
    <xf numFmtId="14" fontId="15" fillId="12" borderId="9" xfId="0" applyNumberFormat="1" applyFont="1" applyFill="1" applyBorder="1" applyAlignment="1">
      <alignment horizontal="center" vertical="center"/>
    </xf>
    <xf numFmtId="1" fontId="15" fillId="12" borderId="9" xfId="0" applyNumberFormat="1" applyFont="1" applyFill="1" applyBorder="1" applyAlignment="1">
      <alignment horizontal="center" vertical="center" wrapText="1"/>
    </xf>
    <xf numFmtId="0" fontId="15" fillId="12" borderId="9" xfId="0" applyFont="1" applyFill="1" applyBorder="1" applyAlignment="1">
      <alignment horizontal="left" vertical="top" wrapText="1"/>
    </xf>
    <xf numFmtId="0" fontId="18" fillId="0" borderId="10" xfId="0" applyFont="1" applyBorder="1" applyAlignment="1">
      <alignment horizontal="center" vertical="center"/>
    </xf>
    <xf numFmtId="14" fontId="15" fillId="0" borderId="10" xfId="0" applyNumberFormat="1" applyFont="1" applyBorder="1" applyAlignment="1">
      <alignment horizontal="left" vertical="top" wrapText="1"/>
    </xf>
    <xf numFmtId="0" fontId="18" fillId="0" borderId="10" xfId="0" applyFont="1" applyBorder="1" applyAlignment="1">
      <alignment horizontal="left" vertical="center"/>
    </xf>
    <xf numFmtId="0" fontId="18" fillId="0" borderId="1" xfId="0" applyFont="1" applyBorder="1" applyAlignment="1">
      <alignment horizontal="left" vertical="center"/>
    </xf>
    <xf numFmtId="0" fontId="15" fillId="4" borderId="25" xfId="0" applyFont="1" applyFill="1" applyBorder="1" applyAlignment="1">
      <alignment wrapText="1"/>
    </xf>
    <xf numFmtId="0" fontId="15" fillId="0" borderId="19" xfId="0" applyFont="1" applyBorder="1" applyAlignment="1">
      <alignment wrapText="1"/>
    </xf>
    <xf numFmtId="0" fontId="18" fillId="11" borderId="5" xfId="0" applyFont="1" applyFill="1" applyBorder="1" applyAlignment="1">
      <alignment vertical="center"/>
    </xf>
    <xf numFmtId="0" fontId="15" fillId="11" borderId="9" xfId="0" applyFont="1" applyFill="1" applyBorder="1" applyAlignment="1">
      <alignment horizontal="left" vertical="center"/>
    </xf>
    <xf numFmtId="0" fontId="18" fillId="11" borderId="7" xfId="0" applyFont="1" applyFill="1" applyBorder="1" applyAlignment="1">
      <alignment horizontal="center" vertical="center"/>
    </xf>
    <xf numFmtId="0" fontId="15" fillId="4" borderId="9" xfId="0" applyFont="1" applyFill="1" applyBorder="1" applyAlignment="1">
      <alignment horizontal="left" vertical="center" wrapText="1"/>
    </xf>
    <xf numFmtId="0" fontId="15" fillId="11" borderId="8" xfId="0" applyFont="1" applyFill="1" applyBorder="1" applyAlignment="1">
      <alignment horizontal="center" vertical="center"/>
    </xf>
    <xf numFmtId="0" fontId="15" fillId="4" borderId="23" xfId="0" applyFont="1" applyFill="1" applyBorder="1" applyAlignment="1">
      <alignment horizontal="left" vertical="center" wrapText="1"/>
    </xf>
    <xf numFmtId="0" fontId="15" fillId="11" borderId="9" xfId="0" applyFont="1" applyFill="1" applyBorder="1" applyAlignment="1">
      <alignment horizontal="center" vertical="center" wrapText="1"/>
    </xf>
    <xf numFmtId="0" fontId="18" fillId="4" borderId="23" xfId="0" applyFont="1" applyFill="1" applyBorder="1" applyAlignment="1">
      <alignment horizontal="left" vertical="center" wrapText="1"/>
    </xf>
    <xf numFmtId="0" fontId="18" fillId="4" borderId="24" xfId="0" applyFont="1" applyFill="1" applyBorder="1" applyAlignment="1">
      <alignment horizontal="left" vertical="center" wrapText="1"/>
    </xf>
    <xf numFmtId="14" fontId="15" fillId="11" borderId="26" xfId="0" applyNumberFormat="1" applyFont="1" applyFill="1" applyBorder="1" applyAlignment="1">
      <alignment horizontal="center" vertical="center"/>
    </xf>
    <xf numFmtId="14" fontId="15" fillId="11" borderId="8" xfId="0" applyNumberFormat="1" applyFont="1" applyFill="1" applyBorder="1" applyAlignment="1">
      <alignment horizontal="left" vertical="top" wrapText="1"/>
    </xf>
    <xf numFmtId="0" fontId="18" fillId="11" borderId="27" xfId="0" applyFont="1" applyFill="1" applyBorder="1" applyAlignment="1">
      <alignment horizontal="center" vertical="center"/>
    </xf>
    <xf numFmtId="1" fontId="15" fillId="15" borderId="1" xfId="0" applyNumberFormat="1" applyFont="1" applyFill="1" applyBorder="1" applyAlignment="1">
      <alignment horizontal="center" vertical="center" wrapText="1"/>
    </xf>
    <xf numFmtId="14" fontId="15" fillId="11" borderId="1" xfId="0" applyNumberFormat="1" applyFont="1" applyFill="1" applyBorder="1" applyAlignment="1">
      <alignment wrapText="1"/>
    </xf>
    <xf numFmtId="0" fontId="15" fillId="11" borderId="1" xfId="0" applyFont="1" applyFill="1" applyBorder="1" applyAlignment="1">
      <alignment vertical="top"/>
    </xf>
    <xf numFmtId="0" fontId="51" fillId="0" borderId="17" xfId="0" applyFont="1" applyBorder="1" applyAlignment="1">
      <alignment horizontal="left" vertical="center" wrapText="1"/>
    </xf>
    <xf numFmtId="0" fontId="15" fillId="0" borderId="17" xfId="0" applyFont="1" applyBorder="1" applyAlignment="1">
      <alignment horizontal="left" vertical="center"/>
    </xf>
    <xf numFmtId="14" fontId="18" fillId="11" borderId="1" xfId="0" applyNumberFormat="1" applyFont="1" applyFill="1" applyBorder="1" applyAlignment="1">
      <alignment horizontal="left" vertical="top" wrapText="1"/>
    </xf>
    <xf numFmtId="0" fontId="51" fillId="0" borderId="0" xfId="0" applyFont="1" applyAlignment="1">
      <alignment horizontal="center"/>
    </xf>
    <xf numFmtId="0" fontId="18" fillId="0" borderId="17" xfId="0" applyFont="1" applyBorder="1" applyAlignment="1">
      <alignment horizontal="center" vertical="center"/>
    </xf>
    <xf numFmtId="0" fontId="51" fillId="0" borderId="10" xfId="0" applyFont="1" applyBorder="1" applyAlignment="1">
      <alignment horizontal="left" vertical="center" wrapText="1"/>
    </xf>
    <xf numFmtId="0" fontId="15" fillId="4" borderId="1" xfId="0" applyFont="1" applyFill="1" applyBorder="1" applyAlignment="1">
      <alignment vertical="top" wrapText="1"/>
    </xf>
    <xf numFmtId="14" fontId="15" fillId="11" borderId="1" xfId="0" applyNumberFormat="1" applyFont="1" applyFill="1" applyBorder="1" applyAlignment="1">
      <alignment horizontal="center" vertical="center" wrapText="1"/>
    </xf>
    <xf numFmtId="0" fontId="15" fillId="4" borderId="1" xfId="0" applyFont="1" applyFill="1" applyBorder="1"/>
    <xf numFmtId="0" fontId="51" fillId="0" borderId="1" xfId="0" applyFont="1" applyBorder="1" applyAlignment="1">
      <alignment vertical="center" wrapText="1"/>
    </xf>
    <xf numFmtId="0" fontId="51" fillId="4" borderId="1" xfId="0" applyFont="1" applyFill="1" applyBorder="1" applyAlignment="1">
      <alignment vertical="center"/>
    </xf>
    <xf numFmtId="0" fontId="104" fillId="11" borderId="1" xfId="0" applyFont="1" applyFill="1" applyBorder="1" applyAlignment="1">
      <alignment vertical="center" wrapText="1"/>
    </xf>
    <xf numFmtId="14" fontId="51" fillId="11" borderId="1" xfId="0" applyNumberFormat="1" applyFont="1" applyFill="1" applyBorder="1" applyAlignment="1">
      <alignment vertical="center" wrapText="1"/>
    </xf>
    <xf numFmtId="0" fontId="51" fillId="4" borderId="1" xfId="0" applyFont="1" applyFill="1" applyBorder="1" applyAlignment="1">
      <alignment horizontal="center" vertical="center"/>
    </xf>
    <xf numFmtId="14" fontId="51" fillId="0" borderId="1" xfId="0" applyNumberFormat="1" applyFont="1" applyBorder="1" applyAlignment="1">
      <alignment horizontal="center" vertical="center"/>
    </xf>
    <xf numFmtId="0" fontId="51" fillId="0" borderId="1" xfId="0" applyFont="1" applyBorder="1" applyAlignment="1">
      <alignment horizontal="center" vertical="center"/>
    </xf>
    <xf numFmtId="0" fontId="51" fillId="0" borderId="0" xfId="0" applyFont="1" applyAlignment="1">
      <alignment horizontal="center" vertical="center"/>
    </xf>
    <xf numFmtId="0" fontId="15" fillId="4" borderId="1" xfId="0" applyFont="1" applyFill="1" applyBorder="1" applyAlignment="1">
      <alignment horizontal="left" vertical="center"/>
    </xf>
    <xf numFmtId="0" fontId="51" fillId="0" borderId="1" xfId="0" applyFont="1" applyBorder="1" applyAlignment="1">
      <alignment horizontal="center" wrapText="1"/>
    </xf>
    <xf numFmtId="0" fontId="51" fillId="0" borderId="1" xfId="0" applyFont="1" applyBorder="1" applyAlignment="1">
      <alignment wrapText="1"/>
    </xf>
    <xf numFmtId="0" fontId="15" fillId="11" borderId="1" xfId="0" applyFont="1" applyFill="1" applyBorder="1" applyAlignment="1">
      <alignment horizontal="left" vertical="top"/>
    </xf>
    <xf numFmtId="0" fontId="18" fillId="0" borderId="1" xfId="0" applyFont="1" applyBorder="1" applyAlignment="1">
      <alignment vertical="top" wrapText="1"/>
    </xf>
    <xf numFmtId="0" fontId="107" fillId="0" borderId="0" xfId="0" applyFont="1"/>
    <xf numFmtId="0" fontId="15" fillId="0" borderId="1" xfId="0" applyFont="1" applyBorder="1" applyAlignment="1">
      <alignment horizontal="center"/>
    </xf>
    <xf numFmtId="0" fontId="18" fillId="0" borderId="1" xfId="0" applyFont="1" applyBorder="1" applyAlignment="1">
      <alignment horizontal="center" vertical="top" wrapText="1"/>
    </xf>
    <xf numFmtId="0" fontId="18" fillId="4" borderId="1" xfId="0" applyFont="1" applyFill="1" applyBorder="1" applyAlignment="1">
      <alignment vertical="top" wrapText="1"/>
    </xf>
    <xf numFmtId="0" fontId="51" fillId="4" borderId="7" xfId="0" applyFont="1" applyFill="1" applyBorder="1"/>
    <xf numFmtId="14" fontId="51" fillId="0" borderId="0" xfId="0" applyNumberFormat="1" applyFont="1"/>
    <xf numFmtId="14" fontId="15" fillId="11" borderId="1" xfId="0" applyNumberFormat="1" applyFont="1" applyFill="1" applyBorder="1" applyAlignment="1">
      <alignment horizontal="left" vertical="center"/>
    </xf>
    <xf numFmtId="14" fontId="108" fillId="11" borderId="1" xfId="0" applyNumberFormat="1" applyFont="1" applyFill="1" applyBorder="1" applyAlignment="1">
      <alignment horizontal="left" vertical="top"/>
    </xf>
    <xf numFmtId="0" fontId="104" fillId="0" borderId="1" xfId="0" applyFont="1" applyBorder="1" applyAlignment="1">
      <alignment vertical="center" wrapText="1"/>
    </xf>
    <xf numFmtId="0" fontId="51" fillId="11" borderId="1" xfId="0" applyFont="1" applyFill="1" applyBorder="1" applyAlignment="1">
      <alignment horizontal="center" vertical="center" wrapText="1"/>
    </xf>
    <xf numFmtId="14" fontId="51" fillId="11" borderId="1" xfId="0" applyNumberFormat="1" applyFont="1" applyFill="1" applyBorder="1" applyAlignment="1">
      <alignment vertical="center"/>
    </xf>
    <xf numFmtId="0" fontId="51" fillId="11" borderId="1" xfId="0" applyFont="1" applyFill="1" applyBorder="1" applyAlignment="1">
      <alignment vertical="top"/>
    </xf>
    <xf numFmtId="0" fontId="104" fillId="4" borderId="7" xfId="0" applyFont="1" applyFill="1" applyBorder="1"/>
    <xf numFmtId="0" fontId="15" fillId="11" borderId="1" xfId="0" applyFont="1" applyFill="1" applyBorder="1" applyAlignment="1">
      <alignment horizontal="center" vertical="center" wrapText="1"/>
    </xf>
    <xf numFmtId="0" fontId="18" fillId="11" borderId="7" xfId="0" applyFont="1" applyFill="1" applyBorder="1" applyAlignment="1">
      <alignment horizontal="left" vertical="center" wrapText="1"/>
    </xf>
    <xf numFmtId="0" fontId="15" fillId="4" borderId="7" xfId="0" applyFont="1" applyFill="1" applyBorder="1" applyAlignment="1">
      <alignment horizontal="left" vertical="center"/>
    </xf>
    <xf numFmtId="0" fontId="15" fillId="11" borderId="7" xfId="0" applyFont="1" applyFill="1" applyBorder="1" applyAlignment="1">
      <alignment horizontal="left" vertical="top"/>
    </xf>
    <xf numFmtId="0" fontId="51" fillId="4" borderId="1" xfId="0" applyFont="1" applyFill="1" applyBorder="1"/>
    <xf numFmtId="0" fontId="18" fillId="0" borderId="4" xfId="0" applyFont="1" applyBorder="1" applyAlignment="1">
      <alignment vertical="top"/>
    </xf>
    <xf numFmtId="0" fontId="15" fillId="4" borderId="5" xfId="0" applyFont="1" applyFill="1" applyBorder="1"/>
    <xf numFmtId="14" fontId="15" fillId="0" borderId="4" xfId="0" applyNumberFormat="1" applyFont="1" applyBorder="1" applyAlignment="1">
      <alignment horizontal="center"/>
    </xf>
    <xf numFmtId="1" fontId="15" fillId="11" borderId="5" xfId="0" applyNumberFormat="1" applyFont="1" applyFill="1" applyBorder="1" applyAlignment="1">
      <alignment horizontal="center" vertical="center"/>
    </xf>
    <xf numFmtId="0" fontId="18" fillId="11" borderId="7" xfId="0" applyFont="1" applyFill="1" applyBorder="1" applyAlignment="1">
      <alignment horizontal="center" vertical="center" wrapText="1"/>
    </xf>
    <xf numFmtId="0" fontId="18" fillId="0" borderId="4" xfId="0" applyFont="1" applyBorder="1" applyAlignment="1">
      <alignment vertical="top" wrapText="1"/>
    </xf>
    <xf numFmtId="14" fontId="15" fillId="11" borderId="1" xfId="0" applyNumberFormat="1" applyFont="1" applyFill="1" applyBorder="1" applyAlignment="1">
      <alignment horizontal="left" vertical="top"/>
    </xf>
    <xf numFmtId="0" fontId="18" fillId="11" borderId="7" xfId="0" applyFont="1" applyFill="1" applyBorder="1" applyAlignment="1">
      <alignment horizontal="left" vertical="top" wrapText="1"/>
    </xf>
    <xf numFmtId="0" fontId="15" fillId="0" borderId="4" xfId="0" applyFont="1" applyBorder="1" applyAlignment="1">
      <alignment vertical="top"/>
    </xf>
    <xf numFmtId="0" fontId="104" fillId="0" borderId="0" xfId="0" applyFont="1"/>
    <xf numFmtId="0" fontId="15" fillId="11" borderId="6" xfId="0" applyFont="1" applyFill="1" applyBorder="1" applyAlignment="1">
      <alignment horizontal="center" vertical="center" wrapText="1"/>
    </xf>
    <xf numFmtId="0" fontId="109" fillId="11" borderId="18" xfId="0" applyFont="1" applyFill="1" applyBorder="1" applyAlignment="1">
      <alignment horizontal="left" vertical="center" wrapText="1"/>
    </xf>
    <xf numFmtId="0" fontId="18" fillId="0" borderId="15" xfId="0" applyFont="1" applyBorder="1" applyAlignment="1">
      <alignment vertical="top" wrapText="1"/>
    </xf>
    <xf numFmtId="0" fontId="104" fillId="4" borderId="1" xfId="0" applyFont="1" applyFill="1" applyBorder="1" applyAlignment="1">
      <alignment vertical="center"/>
    </xf>
    <xf numFmtId="1" fontId="15" fillId="11" borderId="1" xfId="0" applyNumberFormat="1" applyFont="1" applyFill="1" applyBorder="1" applyAlignment="1">
      <alignment horizontal="center" vertical="center"/>
    </xf>
    <xf numFmtId="0" fontId="104" fillId="4" borderId="1" xfId="0" applyFont="1" applyFill="1" applyBorder="1" applyAlignment="1">
      <alignment vertical="center" wrapText="1"/>
    </xf>
    <xf numFmtId="0" fontId="51" fillId="4" borderId="1" xfId="0" applyFont="1" applyFill="1" applyBorder="1" applyAlignment="1">
      <alignment vertical="center" wrapText="1"/>
    </xf>
    <xf numFmtId="14" fontId="51" fillId="0" borderId="1" xfId="0" applyNumberFormat="1" applyFont="1" applyBorder="1" applyAlignment="1">
      <alignment vertical="center" wrapText="1"/>
    </xf>
    <xf numFmtId="0" fontId="51" fillId="0" borderId="0" xfId="0" applyFont="1" applyAlignment="1">
      <alignment vertical="center" wrapText="1"/>
    </xf>
    <xf numFmtId="0" fontId="15" fillId="0" borderId="1" xfId="0" applyFont="1" applyBorder="1" applyAlignment="1">
      <alignment vertical="top"/>
    </xf>
    <xf numFmtId="0" fontId="18" fillId="3" borderId="1" xfId="0" applyFont="1" applyFill="1" applyBorder="1" applyAlignment="1">
      <alignment vertical="center"/>
    </xf>
    <xf numFmtId="0" fontId="15" fillId="3" borderId="1" xfId="0" applyFont="1" applyFill="1" applyBorder="1" applyAlignment="1">
      <alignment horizontal="left" vertical="top" wrapText="1"/>
    </xf>
    <xf numFmtId="0" fontId="9" fillId="0" borderId="0" xfId="0" applyFont="1" applyAlignment="1">
      <alignment horizontal="center"/>
    </xf>
    <xf numFmtId="0" fontId="10" fillId="0" borderId="0" xfId="0" applyFont="1" applyAlignment="1">
      <alignment horizontal="center"/>
    </xf>
    <xf numFmtId="14" fontId="51" fillId="0" borderId="0" xfId="0" applyNumberFormat="1" applyFont="1"/>
    <xf numFmtId="0" fontId="10" fillId="0" borderId="0" xfId="0" applyFont="1" applyAlignment="1"/>
    <xf numFmtId="14" fontId="10" fillId="0" borderId="0" xfId="0" applyNumberFormat="1" applyFont="1" applyAlignment="1"/>
    <xf numFmtId="0" fontId="104" fillId="16" borderId="1" xfId="0" applyFont="1" applyFill="1" applyBorder="1" applyAlignment="1">
      <alignment vertical="center"/>
    </xf>
    <xf numFmtId="14" fontId="104" fillId="16" borderId="1" xfId="0" applyNumberFormat="1" applyFont="1" applyFill="1" applyBorder="1" applyAlignment="1">
      <alignment horizontal="center" vertical="center" wrapText="1"/>
    </xf>
    <xf numFmtId="14" fontId="104" fillId="16" borderId="5" xfId="0" applyNumberFormat="1" applyFont="1" applyFill="1" applyBorder="1" applyAlignment="1">
      <alignment horizontal="center" vertical="center" wrapText="1"/>
    </xf>
    <xf numFmtId="14" fontId="104" fillId="16" borderId="18" xfId="0" applyNumberFormat="1" applyFont="1" applyFill="1" applyBorder="1" applyAlignment="1">
      <alignment horizontal="center" vertical="center" wrapText="1"/>
    </xf>
    <xf numFmtId="0" fontId="104" fillId="11" borderId="1" xfId="0" applyFont="1" applyFill="1" applyBorder="1"/>
    <xf numFmtId="0" fontId="51" fillId="0" borderId="1" xfId="0" applyFont="1" applyBorder="1" applyAlignment="1">
      <alignment horizontal="center"/>
    </xf>
    <xf numFmtId="0" fontId="110" fillId="0" borderId="1" xfId="0" applyFont="1" applyBorder="1"/>
    <xf numFmtId="0" fontId="51" fillId="0" borderId="19" xfId="0" applyFont="1" applyBorder="1"/>
    <xf numFmtId="0" fontId="111" fillId="0" borderId="1" xfId="0" applyFont="1" applyBorder="1"/>
    <xf numFmtId="0" fontId="14" fillId="0" borderId="1" xfId="0" applyFont="1" applyBorder="1" applyAlignment="1"/>
    <xf numFmtId="0" fontId="14" fillId="0" borderId="1" xfId="0" applyFont="1" applyBorder="1" applyAlignment="1">
      <alignment horizontal="center"/>
    </xf>
    <xf numFmtId="0" fontId="14" fillId="0" borderId="1" xfId="0" applyFont="1" applyBorder="1" applyAlignment="1">
      <alignment wrapText="1"/>
    </xf>
    <xf numFmtId="167" fontId="10" fillId="0" borderId="1" xfId="0" applyNumberFormat="1" applyFont="1" applyBorder="1" applyAlignment="1">
      <alignment horizontal="center" vertical="center"/>
    </xf>
    <xf numFmtId="20"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left" vertical="center" wrapText="1"/>
    </xf>
    <xf numFmtId="0" fontId="10" fillId="0" borderId="0" xfId="0" applyFont="1" applyAlignment="1">
      <alignment horizontal="center" vertical="center"/>
    </xf>
    <xf numFmtId="20" fontId="10" fillId="0" borderId="1" xfId="0" applyNumberFormat="1" applyFont="1" applyBorder="1" applyAlignment="1">
      <alignment horizontal="center"/>
    </xf>
    <xf numFmtId="0" fontId="10" fillId="0" borderId="1" xfId="0" applyFont="1" applyBorder="1" applyAlignment="1">
      <alignment horizontal="center"/>
    </xf>
    <xf numFmtId="0" fontId="10" fillId="0" borderId="1" xfId="0" applyFont="1" applyBorder="1" applyAlignment="1">
      <alignment wrapText="1"/>
    </xf>
    <xf numFmtId="167" fontId="10" fillId="0" borderId="1" xfId="0" applyNumberFormat="1" applyFont="1" applyBorder="1" applyAlignment="1">
      <alignment horizontal="left"/>
    </xf>
    <xf numFmtId="20" fontId="10" fillId="0" borderId="1" xfId="0" applyNumberFormat="1" applyFont="1" applyBorder="1" applyAlignment="1">
      <alignment horizontal="left"/>
    </xf>
    <xf numFmtId="20" fontId="10" fillId="0" borderId="1" xfId="0" applyNumberFormat="1" applyFont="1" applyBorder="1" applyAlignment="1">
      <alignment horizontal="left" vertical="center"/>
    </xf>
    <xf numFmtId="0" fontId="10" fillId="0" borderId="1" xfId="0" applyFont="1" applyBorder="1" applyAlignment="1">
      <alignment horizontal="left"/>
    </xf>
    <xf numFmtId="0" fontId="10" fillId="0" borderId="1" xfId="0" applyFont="1" applyBorder="1" applyAlignment="1">
      <alignment horizontal="left" wrapText="1"/>
    </xf>
    <xf numFmtId="0" fontId="10" fillId="0" borderId="1" xfId="0" applyFont="1" applyBorder="1"/>
    <xf numFmtId="0" fontId="10" fillId="0" borderId="1" xfId="0" applyFont="1" applyBorder="1" applyAlignment="1">
      <alignment horizontal="center"/>
    </xf>
    <xf numFmtId="0" fontId="10" fillId="0" borderId="1" xfId="0" applyFont="1" applyBorder="1" applyAlignment="1">
      <alignment wrapText="1"/>
    </xf>
    <xf numFmtId="0" fontId="10" fillId="0" borderId="0" xfId="0" applyFont="1" applyAlignment="1">
      <alignment wrapText="1"/>
    </xf>
    <xf numFmtId="0" fontId="4" fillId="17" borderId="1" xfId="0" applyFont="1" applyFill="1" applyBorder="1" applyAlignment="1">
      <alignment horizontal="center" vertical="center"/>
    </xf>
    <xf numFmtId="0" fontId="9" fillId="0" borderId="0" xfId="0" applyFont="1" applyAlignment="1">
      <alignment horizontal="left" vertical="center"/>
    </xf>
    <xf numFmtId="0" fontId="18" fillId="11" borderId="4" xfId="0" applyFont="1" applyFill="1" applyBorder="1" applyAlignment="1">
      <alignment horizontal="center" vertical="center"/>
    </xf>
    <xf numFmtId="0" fontId="106" fillId="0" borderId="10" xfId="0" applyFont="1" applyBorder="1"/>
    <xf numFmtId="0" fontId="51" fillId="0" borderId="4" xfId="0" applyFont="1" applyBorder="1" applyAlignment="1">
      <alignment horizontal="center" vertical="center" wrapText="1"/>
    </xf>
    <xf numFmtId="0" fontId="106" fillId="0" borderId="17" xfId="0" applyFont="1" applyBorder="1"/>
    <xf numFmtId="0" fontId="4" fillId="0" borderId="4" xfId="0" applyFont="1" applyBorder="1" applyAlignment="1">
      <alignment horizontal="center" vertical="center"/>
    </xf>
  </cellXfs>
  <cellStyles count="1">
    <cellStyle name="Normal" xfId="0" builtinId="0"/>
  </cellStyles>
  <dxfs count="53">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49"/>
      <tableStyleElement type="headerRow" dxfId="52"/>
      <tableStyleElement type="firstRowStripe" dxfId="51"/>
      <tableStyleElement type="secondRowStripe" dxfId="50"/>
    </tableStyle>
    <tableStyle name="EN PROCESO (Alfa)-style" pivot="0" count="4">
      <tableStyleElement type="wholeTable" size="0" dxfId="45"/>
      <tableStyleElement type="headerRow" dxfId="48"/>
      <tableStyleElement type="firstRowStripe" dxfId="47"/>
      <tableStyleElement type="secondRowStripe" dxfId="46"/>
    </tableStyle>
    <tableStyle name="FINALIZADOS 2-style" pivot="0" count="4">
      <tableStyleElement type="wholeTable" size="0" dxfId="41"/>
      <tableStyleElement type="headerRow" dxfId="44"/>
      <tableStyleElement type="firstRowStripe" dxfId="43"/>
      <tableStyleElement type="secondRowStripe" dxfId="42"/>
    </tableStyle>
    <tableStyle name="FINALIZADOS 2-style 2" pivot="0" count="4">
      <tableStyleElement type="wholeTable" size="0" dxfId="37"/>
      <tableStyleElement type="headerRow" dxfId="40"/>
      <tableStyleElement type="firstRowStripe" dxfId="39"/>
      <tableStyleElement type="secondRowStripe" dxfId="38"/>
    </tableStyle>
    <tableStyle name="FINALIZADOS 2-style 3" pivot="0" count="2">
      <tableStyleElement type="firstRowStripe" dxfId="36"/>
      <tableStyleElement type="secondRowStripe" dxfId="35"/>
    </tableStyle>
    <tableStyle name="FINALIZADOS 2-style 4" pivot="0" count="2">
      <tableStyleElement type="firstRowStripe" dxfId="34"/>
      <tableStyleElement type="secondRowStripe" dxfId="33"/>
    </tableStyle>
    <tableStyle name="FINALIZADOS 2-style 5" pivot="0" count="2">
      <tableStyleElement type="firstRowStripe" dxfId="32"/>
      <tableStyleElement type="secondRowStripe" dxfId="31"/>
    </tableStyle>
    <tableStyle name="FINALIZADOS 2-style 6" pivot="0" count="2">
      <tableStyleElement type="firstRowStripe" dxfId="30"/>
      <tableStyleElement type="secondRowStripe" dxfId="29"/>
    </tableStyle>
    <tableStyle name="FINALIZADOS 2-style 7" pivot="0" count="2">
      <tableStyleElement type="firstRowStripe" dxfId="28"/>
      <tableStyleElement type="secondRowStripe" dxfId="27"/>
    </tableStyle>
    <tableStyle name="FINALIZADOS 2-style 8" pivot="0" count="2">
      <tableStyleElement type="firstRowStripe" dxfId="26"/>
      <tableStyleElement type="secondRowStripe" dxfId="25"/>
    </tableStyle>
    <tableStyle name="FINALIZADOS 2-style 9" pivot="0" count="2">
      <tableStyleElement type="firstRowStripe" dxfId="24"/>
      <tableStyleElement type="secondRowStripe" dxfId="23"/>
    </tableStyle>
    <tableStyle name="FINALIZADOS 2-style 10" pivot="0" count="2">
      <tableStyleElement type="firstRowStripe" dxfId="22"/>
      <tableStyleElement type="secondRowStripe" dxfId="21"/>
    </tableStyle>
    <tableStyle name="FINALIZADOS 2-style 11" pivot="0" count="2">
      <tableStyleElement type="firstRowStripe" dxfId="20"/>
      <tableStyleElement type="secondRowStripe" dxfId="19"/>
    </tableStyle>
    <tableStyle name="FINALIZADOS 2-style 12" pivot="0" count="2">
      <tableStyleElement type="firstRowStripe" dxfId="18"/>
      <tableStyleElement type="secondRowStripe" dxfId="17"/>
    </tableStyle>
    <tableStyle name="FINALIZADOS 2-style 13" pivot="0" count="2">
      <tableStyleElement type="firstRowStripe" dxfId="16"/>
      <tableStyleElement type="secondRowStripe" dxfId="15"/>
    </tableStyle>
    <tableStyle name="FINALIZADOS 2-style 14" pivot="0" count="2">
      <tableStyleElement type="firstRowStripe" dxfId="14"/>
      <tableStyleElement type="secondRowStripe" dxfId="13"/>
    </tableStyle>
    <tableStyle name="FINALIZADOS 2-style 15" pivot="0" count="2">
      <tableStyleElement type="firstRowStripe" dxfId="12"/>
      <tableStyleElement type="secondRowStripe" dxfId="11"/>
    </tableStyle>
    <tableStyle name="FINALIZADOS 2-style 16" pivot="0" count="2">
      <tableStyleElement type="firstRowStripe" dxfId="10"/>
      <tableStyleElement type="secondRowStripe" dxfId="9"/>
    </tableStyle>
    <tableStyle name="FINALIZADOS 2-style 17" pivot="0" count="2">
      <tableStyleElement type="firstRowStripe" dxfId="8"/>
      <tableStyleElement type="secondRowStripe" dxfId="7"/>
    </tableStyle>
    <tableStyle name="FINALIZADOS 2-style 18" pivot="0" count="2">
      <tableStyleElement type="firstRowStripe" dxfId="6"/>
      <tableStyleElement type="secondRowStripe" dxfId="5"/>
    </tableStyle>
    <tableStyle name="FINALIZADOS 2-style 19" pivot="0" count="2">
      <tableStyleElement type="firstRowStripe" dxfId="4"/>
      <tableStyleElement type="secondRowStripe" dxfId="3"/>
    </tableStyle>
    <tableStyle name="FINALIZADOS 2-style 20"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14" Type="http://schemas.openxmlformats.org/officeDocument/2006/relationships/theme" Target="theme/theme1.xml"/></Relationships>
</file>

<file path=xl/tables/table1.xml><?xml version="1.0" encoding="utf-8"?>
<table xmlns="http://schemas.openxmlformats.org/spreadsheetml/2006/main" id="2" name="Tabla" displayName="Tabla" ref="A1:S154">
  <autoFilter ref="A1:S154"/>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2.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3.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5.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6.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7.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8.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9.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0.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1.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2.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3.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4.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5.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6.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7.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8.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19.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0.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1.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13" Type="http://schemas.openxmlformats.org/officeDocument/2006/relationships/table" Target="../tables/table10.xml"/><Relationship Id="rId18" Type="http://schemas.openxmlformats.org/officeDocument/2006/relationships/table" Target="../tables/table15.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8.xml"/><Relationship Id="rId7" Type="http://schemas.openxmlformats.org/officeDocument/2006/relationships/table" Target="../tables/table4.xml"/><Relationship Id="rId12" Type="http://schemas.openxmlformats.org/officeDocument/2006/relationships/table" Target="../tables/table9.xml"/><Relationship Id="rId17" Type="http://schemas.openxmlformats.org/officeDocument/2006/relationships/table" Target="../tables/table14.xml"/><Relationship Id="rId2" Type="http://schemas.openxmlformats.org/officeDocument/2006/relationships/hyperlink" Target="https://jirasegurosbolivar.atlassian.net/browse/GD772-81" TargetMode="External"/><Relationship Id="rId16" Type="http://schemas.openxmlformats.org/officeDocument/2006/relationships/table" Target="../tables/table13.xml"/><Relationship Id="rId20" Type="http://schemas.openxmlformats.org/officeDocument/2006/relationships/table" Target="../tables/table17.xml"/><Relationship Id="rId1" Type="http://schemas.openxmlformats.org/officeDocument/2006/relationships/hyperlink" Target="https://jirasegurosbolivar.atlassian.net/browse/GD772-102" TargetMode="External"/><Relationship Id="rId6" Type="http://schemas.openxmlformats.org/officeDocument/2006/relationships/table" Target="../tables/table3.xml"/><Relationship Id="rId11" Type="http://schemas.openxmlformats.org/officeDocument/2006/relationships/table" Target="../tables/table8.xml"/><Relationship Id="rId24" Type="http://schemas.openxmlformats.org/officeDocument/2006/relationships/table" Target="../tables/table21.xml"/><Relationship Id="rId5" Type="http://schemas.openxmlformats.org/officeDocument/2006/relationships/table" Target="../tables/table2.xml"/><Relationship Id="rId15" Type="http://schemas.openxmlformats.org/officeDocument/2006/relationships/table" Target="../tables/table12.xml"/><Relationship Id="rId23" Type="http://schemas.openxmlformats.org/officeDocument/2006/relationships/table" Target="../tables/table20.xml"/><Relationship Id="rId10" Type="http://schemas.openxmlformats.org/officeDocument/2006/relationships/table" Target="../tables/table7.xml"/><Relationship Id="rId19" Type="http://schemas.openxmlformats.org/officeDocument/2006/relationships/table" Target="../tables/table16.xml"/><Relationship Id="rId4" Type="http://schemas.openxmlformats.org/officeDocument/2006/relationships/hyperlink" Target="https://jirasegurosbolivar.atlassian.net/browse/GD772-88" TargetMode="External"/><Relationship Id="rId9" Type="http://schemas.openxmlformats.org/officeDocument/2006/relationships/table" Target="../tables/table6.xml"/><Relationship Id="rId14" Type="http://schemas.openxmlformats.org/officeDocument/2006/relationships/table" Target="../tables/table11.xml"/><Relationship Id="rId22" Type="http://schemas.openxmlformats.org/officeDocument/2006/relationships/table" Target="../tables/table19.xm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73"/>
  <sheetViews>
    <sheetView tabSelected="1" workbookViewId="0">
      <pane ySplit="1" topLeftCell="A14" activePane="bottomLeft" state="frozen"/>
      <selection pane="bottomLeft" activeCell="D25" sqref="D25"/>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13.55468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53</v>
      </c>
      <c r="C1" s="3" t="s">
        <v>2</v>
      </c>
      <c r="D1" s="62" t="s">
        <v>54</v>
      </c>
      <c r="E1" s="63" t="s">
        <v>55</v>
      </c>
      <c r="F1" s="64" t="s">
        <v>4</v>
      </c>
      <c r="G1" s="4" t="s">
        <v>56</v>
      </c>
      <c r="H1" s="5" t="s">
        <v>5</v>
      </c>
      <c r="I1" s="6" t="s">
        <v>6</v>
      </c>
      <c r="J1" s="6" t="s">
        <v>7</v>
      </c>
      <c r="K1" s="7" t="s">
        <v>8</v>
      </c>
      <c r="L1" s="7" t="s">
        <v>9</v>
      </c>
      <c r="M1" s="7" t="s">
        <v>10</v>
      </c>
      <c r="N1" s="65" t="s">
        <v>11</v>
      </c>
      <c r="O1" s="6" t="s">
        <v>12</v>
      </c>
      <c r="P1" s="6" t="s">
        <v>13</v>
      </c>
      <c r="Q1" s="8" t="s">
        <v>14</v>
      </c>
      <c r="R1" s="63" t="s">
        <v>57</v>
      </c>
      <c r="S1" s="66" t="s">
        <v>58</v>
      </c>
    </row>
    <row r="2" spans="1:19" ht="75.75" customHeight="1">
      <c r="A2" s="10" t="s">
        <v>59</v>
      </c>
      <c r="B2" s="67" t="s">
        <v>60</v>
      </c>
      <c r="C2" s="11" t="s">
        <v>61</v>
      </c>
      <c r="D2" s="68"/>
      <c r="E2" s="69" t="s">
        <v>62</v>
      </c>
      <c r="F2" s="12" t="s">
        <v>37</v>
      </c>
      <c r="G2" s="13">
        <v>100</v>
      </c>
      <c r="H2" s="70">
        <f>IF(OR(J2="",K2="",K2&lt;J2),0,NETWORKDAYS(J2,K2,fESTIVOS!$A$2:$A$53))</f>
        <v>90</v>
      </c>
      <c r="I2" s="71"/>
      <c r="J2" s="17">
        <v>45691</v>
      </c>
      <c r="K2" s="16">
        <v>45821</v>
      </c>
      <c r="L2" s="17">
        <v>45824</v>
      </c>
      <c r="M2" s="25">
        <f ca="1">IF(OR(J2="",AND(L2="",TODAY()&lt;J2),AND(L2&lt;&gt;"",L2&lt;J2)),0,
   IF(L2="",
      NETWORKDAYS(J2,TODAY(),fESTIVOS!$A$2:$A$53),
      NETWORKDAYS(J2,L2,fESTIVOS!$A$2:$A$53)
   )
)</f>
        <v>91</v>
      </c>
      <c r="N2" s="14"/>
      <c r="O2" s="14"/>
      <c r="P2" s="72">
        <v>45843</v>
      </c>
      <c r="Q2" s="73" t="s">
        <v>63</v>
      </c>
      <c r="R2" s="74" t="s">
        <v>38</v>
      </c>
      <c r="S2" s="21"/>
    </row>
    <row r="3" spans="1:19" ht="75.75" customHeight="1">
      <c r="A3" s="10" t="s">
        <v>59</v>
      </c>
      <c r="B3" s="67" t="s">
        <v>64</v>
      </c>
      <c r="C3" s="11" t="s">
        <v>65</v>
      </c>
      <c r="D3" s="68"/>
      <c r="E3" s="69" t="s">
        <v>62</v>
      </c>
      <c r="F3" s="12" t="s">
        <v>37</v>
      </c>
      <c r="G3" s="13">
        <v>100</v>
      </c>
      <c r="H3" s="70">
        <f>IF(OR(J3="",K3="",K3&lt;J3),0,NETWORKDAYS(J3,K3,fESTIVOS!$A$2:$A$53))</f>
        <v>3</v>
      </c>
      <c r="I3" s="59">
        <v>45824</v>
      </c>
      <c r="J3" s="17">
        <v>45824</v>
      </c>
      <c r="K3" s="16">
        <v>45826</v>
      </c>
      <c r="L3" s="17">
        <v>45827</v>
      </c>
      <c r="M3" s="25">
        <f ca="1">IF(OR(J3="",AND(L3="",TODAY()&lt;J3),AND(L3&lt;&gt;"",L3&lt;J3)),0,
   IF(L3="",
      NETWORKDAYS(J3,TODAY(),fESTIVOS!$A$2:$A$53),
      NETWORKDAYS(J3,L3,fESTIVOS!$A$2:$A$53)
   )
)</f>
        <v>4</v>
      </c>
      <c r="N3" s="14"/>
      <c r="O3" s="14"/>
      <c r="P3" s="72">
        <v>45843</v>
      </c>
      <c r="Q3" s="45" t="s">
        <v>66</v>
      </c>
      <c r="R3" s="74" t="s">
        <v>38</v>
      </c>
      <c r="S3" s="21"/>
    </row>
    <row r="4" spans="1:19" ht="154.5" customHeight="1">
      <c r="A4" s="10" t="s">
        <v>59</v>
      </c>
      <c r="B4" s="67" t="s">
        <v>67</v>
      </c>
      <c r="C4" s="75" t="s">
        <v>68</v>
      </c>
      <c r="D4" s="76"/>
      <c r="E4" s="69" t="s">
        <v>62</v>
      </c>
      <c r="F4" s="77" t="s">
        <v>37</v>
      </c>
      <c r="G4" s="13">
        <v>100</v>
      </c>
      <c r="H4" s="70">
        <f>IF(OR(J4="",K4="",K4&lt;J4),0,NETWORKDAYS(J4,K4,fESTIVOS!$A$2:$A$53))</f>
        <v>4</v>
      </c>
      <c r="I4" s="14"/>
      <c r="J4" s="17">
        <v>45827</v>
      </c>
      <c r="K4" s="16">
        <v>45833</v>
      </c>
      <c r="L4" s="17">
        <v>45841</v>
      </c>
      <c r="M4" s="25">
        <f ca="1">IF(OR(J4="",AND(L4="",TODAY()&lt;J4),AND(L4&lt;&gt;"",L4&lt;J4)),0,
   IF(L4="",
      NETWORKDAYS(J4,TODAY(),fESTIVOS!$A$2:$A$53),
      NETWORKDAYS(J4,L4,fESTIVOS!$A$2:$A$53)
   )
)</f>
        <v>9</v>
      </c>
      <c r="N4" s="14"/>
      <c r="O4" s="14"/>
      <c r="P4" s="72">
        <v>45843</v>
      </c>
      <c r="Q4" s="24" t="s">
        <v>69</v>
      </c>
      <c r="R4" s="74" t="s">
        <v>38</v>
      </c>
      <c r="S4" s="26" t="s">
        <v>70</v>
      </c>
    </row>
    <row r="5" spans="1:19" ht="29.25" customHeight="1">
      <c r="A5" s="10" t="s">
        <v>59</v>
      </c>
      <c r="B5" s="67" t="s">
        <v>71</v>
      </c>
      <c r="C5" s="60" t="s">
        <v>72</v>
      </c>
      <c r="D5" s="68"/>
      <c r="E5" s="69" t="s">
        <v>62</v>
      </c>
      <c r="F5" s="12" t="s">
        <v>37</v>
      </c>
      <c r="G5" s="13">
        <v>100</v>
      </c>
      <c r="H5" s="70">
        <f>IF(OR(J5="",K5="",K5&lt;J5),0,NETWORKDAYS(J5,K5,fESTIVOS!$A$2:$A$53))</f>
        <v>3</v>
      </c>
      <c r="I5" s="28">
        <v>45817</v>
      </c>
      <c r="J5" s="17">
        <v>45817</v>
      </c>
      <c r="K5" s="16">
        <v>45819</v>
      </c>
      <c r="L5" s="27">
        <v>45820</v>
      </c>
      <c r="M5" s="25">
        <f ca="1">IF(OR(J5="",AND(L5="",TODAY()&lt;J5),AND(L5&lt;&gt;"",L5&lt;J5)),0,
   IF(L5="",
      NETWORKDAYS(J5,TODAY(),fESTIVOS!$A$2:$A$53),
      NETWORKDAYS(J5,L5,fESTIVOS!$A$2:$A$53)
   )
)</f>
        <v>4</v>
      </c>
      <c r="N5" s="14"/>
      <c r="O5" s="14"/>
      <c r="P5" s="72">
        <v>45843</v>
      </c>
      <c r="Q5" s="24" t="s">
        <v>73</v>
      </c>
      <c r="R5" s="74" t="s">
        <v>38</v>
      </c>
      <c r="S5" s="26" t="s">
        <v>70</v>
      </c>
    </row>
    <row r="6" spans="1:19" ht="29.25" customHeight="1">
      <c r="A6" s="10" t="s">
        <v>59</v>
      </c>
      <c r="B6" s="67" t="s">
        <v>74</v>
      </c>
      <c r="C6" s="60" t="s">
        <v>75</v>
      </c>
      <c r="D6" s="68"/>
      <c r="E6" s="69" t="s">
        <v>62</v>
      </c>
      <c r="F6" s="12" t="s">
        <v>37</v>
      </c>
      <c r="G6" s="13">
        <v>100</v>
      </c>
      <c r="H6" s="70">
        <f>IF(OR(J6="",K6="",K6&lt;J6),0,NETWORKDAYS(J6,K6,fESTIVOS!$A$2:$A$53))</f>
        <v>2</v>
      </c>
      <c r="I6" s="28">
        <v>45817</v>
      </c>
      <c r="J6" s="17">
        <v>45841</v>
      </c>
      <c r="K6" s="16">
        <v>45842</v>
      </c>
      <c r="L6" s="17">
        <v>45842</v>
      </c>
      <c r="M6" s="25">
        <f ca="1">IF(OR(J6="",AND(L6="",TODAY()&lt;J6),AND(L6&lt;&gt;"",L6&lt;J6)),0,
   IF(L6="",
      NETWORKDAYS(J6,TODAY(),fESTIVOS!$A$2:$A$53),
      NETWORKDAYS(J6,L6,fESTIVOS!$A$2:$A$53)
   )
)</f>
        <v>2</v>
      </c>
      <c r="N6" s="14"/>
      <c r="O6" s="14"/>
      <c r="P6" s="72">
        <v>45852</v>
      </c>
      <c r="Q6" s="19" t="s">
        <v>76</v>
      </c>
      <c r="R6" s="74" t="s">
        <v>38</v>
      </c>
      <c r="S6" s="21" t="s">
        <v>77</v>
      </c>
    </row>
    <row r="7" spans="1:19" ht="29.25" customHeight="1">
      <c r="A7" s="10" t="s">
        <v>59</v>
      </c>
      <c r="B7" s="78" t="s">
        <v>78</v>
      </c>
      <c r="C7" s="79" t="s">
        <v>79</v>
      </c>
      <c r="D7" s="68"/>
      <c r="E7" s="69" t="s">
        <v>80</v>
      </c>
      <c r="F7" s="12" t="s">
        <v>37</v>
      </c>
      <c r="G7" s="13">
        <v>100</v>
      </c>
      <c r="H7" s="70">
        <f>IF(OR(J7="",K7="",K7&lt;J7),0,NETWORKDAYS(J7,K7,fESTIVOS!$A$2:$A$53))</f>
        <v>0</v>
      </c>
      <c r="I7" s="28">
        <v>45817</v>
      </c>
      <c r="J7" s="80">
        <v>45845</v>
      </c>
      <c r="K7" s="16"/>
      <c r="L7" s="17">
        <v>45847</v>
      </c>
      <c r="M7" s="25">
        <f ca="1">IF(OR(J7="",AND(L7="",TODAY()&lt;J7),AND(L7&lt;&gt;"",L7&lt;J7)),0,
   IF(L7="",
      NETWORKDAYS(J7,TODAY(),fESTIVOS!$A$2:$A$53),
      NETWORKDAYS(J7,L7,fESTIVOS!$A$2:$A$53)
   )
)</f>
        <v>3</v>
      </c>
      <c r="N7" s="14"/>
      <c r="O7" s="14"/>
      <c r="P7" s="72">
        <v>45852</v>
      </c>
      <c r="Q7" s="19" t="s">
        <v>81</v>
      </c>
      <c r="R7" s="74" t="s">
        <v>38</v>
      </c>
      <c r="S7" s="26" t="s">
        <v>82</v>
      </c>
    </row>
    <row r="8" spans="1:19" ht="29.25" customHeight="1">
      <c r="A8" s="10" t="s">
        <v>59</v>
      </c>
      <c r="B8" s="81" t="s">
        <v>83</v>
      </c>
      <c r="C8" s="82" t="s">
        <v>84</v>
      </c>
      <c r="D8" s="68"/>
      <c r="E8" s="83" t="s">
        <v>80</v>
      </c>
      <c r="F8" s="12" t="s">
        <v>37</v>
      </c>
      <c r="G8" s="32">
        <v>100</v>
      </c>
      <c r="H8" s="70">
        <f>IF(OR(J8="",K8="",K8&lt;J8),0,NETWORKDAYS(J8,K8,fESTIVOS!$A$2:$A$53))</f>
        <v>0</v>
      </c>
      <c r="I8" s="43">
        <v>45834</v>
      </c>
      <c r="J8" s="16">
        <v>45848</v>
      </c>
      <c r="K8" s="84"/>
      <c r="L8" s="16">
        <v>45822</v>
      </c>
      <c r="M8" s="25">
        <f ca="1">IF(OR(J8="",AND(L8="",TODAY()&lt;J8),AND(L8&lt;&gt;"",L8&lt;J8)),0,
   IF(L8="",
      NETWORKDAYS(J8,TODAY(),fESTIVOS!$A$2:$A$53),
      NETWORKDAYS(J8,L8,fESTIVOS!$A$2:$A$53)
   )
)</f>
        <v>0</v>
      </c>
      <c r="N8" s="85"/>
      <c r="O8" s="85"/>
      <c r="P8" s="72">
        <v>45852</v>
      </c>
      <c r="Q8" s="86" t="s">
        <v>85</v>
      </c>
      <c r="R8" s="74" t="s">
        <v>38</v>
      </c>
      <c r="S8" s="29" t="s">
        <v>86</v>
      </c>
    </row>
    <row r="9" spans="1:19" ht="29.25" customHeight="1">
      <c r="A9" s="10" t="s">
        <v>59</v>
      </c>
      <c r="B9" s="81" t="s">
        <v>87</v>
      </c>
      <c r="C9" s="82" t="s">
        <v>88</v>
      </c>
      <c r="D9" s="68"/>
      <c r="E9" s="83" t="s">
        <v>80</v>
      </c>
      <c r="F9" s="12" t="s">
        <v>37</v>
      </c>
      <c r="G9" s="32">
        <v>100</v>
      </c>
      <c r="H9" s="70">
        <f>IF(OR(J9="",K9="",K9&lt;J9),0,NETWORKDAYS(J9,K9,fESTIVOS!$A$2:$A$53))</f>
        <v>0</v>
      </c>
      <c r="I9" s="43">
        <v>45834</v>
      </c>
      <c r="J9" s="16">
        <v>45848</v>
      </c>
      <c r="K9" s="30"/>
      <c r="L9" s="16">
        <v>45848</v>
      </c>
      <c r="M9" s="25">
        <f ca="1">IF(OR(J9="",AND(L9="",TODAY()&lt;J9),AND(L9&lt;&gt;"",L9&lt;J9)),0,
   IF(L9="",
      NETWORKDAYS(J9,TODAY(),fESTIVOS!$A$2:$A$53),
      NETWORKDAYS(J9,L9,fESTIVOS!$A$2:$A$53)
   )
)</f>
        <v>1</v>
      </c>
      <c r="N9" s="85"/>
      <c r="O9" s="85"/>
      <c r="P9" s="18"/>
      <c r="Q9" s="86" t="s">
        <v>89</v>
      </c>
      <c r="R9" s="74" t="s">
        <v>38</v>
      </c>
      <c r="S9" s="29" t="s">
        <v>90</v>
      </c>
    </row>
    <row r="10" spans="1:19" ht="29.25" customHeight="1">
      <c r="A10" s="10" t="s">
        <v>59</v>
      </c>
      <c r="B10" s="81" t="s">
        <v>91</v>
      </c>
      <c r="C10" s="58" t="s">
        <v>92</v>
      </c>
      <c r="D10" s="68"/>
      <c r="E10" s="83" t="s">
        <v>80</v>
      </c>
      <c r="F10" s="12" t="s">
        <v>37</v>
      </c>
      <c r="G10" s="32">
        <v>100</v>
      </c>
      <c r="H10" s="70">
        <f>IF(OR(J10="",K10="",K10&lt;J10),0,NETWORKDAYS(J10,K10,fESTIVOS!$A$2:$A$53))</f>
        <v>0</v>
      </c>
      <c r="I10" s="43">
        <v>45834</v>
      </c>
      <c r="J10" s="16">
        <v>45854</v>
      </c>
      <c r="K10" s="38"/>
      <c r="L10" s="16">
        <v>45855</v>
      </c>
      <c r="M10" s="25">
        <f ca="1">IF(OR(J10="",AND(L10="",TODAY()&lt;J10),AND(L10&lt;&gt;"",L10&lt;J10)),0,
   IF(L10="",
      NETWORKDAYS(J10,TODAY(),fESTIVOS!$A$2:$A$53),
      NETWORKDAYS(J10,L10,fESTIVOS!$A$2:$A$53)
   )
)</f>
        <v>2</v>
      </c>
      <c r="N10" s="85"/>
      <c r="O10" s="85"/>
      <c r="P10" s="72">
        <v>45855</v>
      </c>
      <c r="Q10" s="86" t="s">
        <v>93</v>
      </c>
      <c r="R10" s="74" t="s">
        <v>38</v>
      </c>
      <c r="S10" s="29" t="s">
        <v>94</v>
      </c>
    </row>
    <row r="11" spans="1:19" ht="29.25" customHeight="1">
      <c r="A11" s="10" t="s">
        <v>59</v>
      </c>
      <c r="B11" s="81" t="s">
        <v>95</v>
      </c>
      <c r="C11" s="58" t="s">
        <v>96</v>
      </c>
      <c r="D11" s="68"/>
      <c r="E11" s="83" t="s">
        <v>80</v>
      </c>
      <c r="F11" s="12" t="s">
        <v>37</v>
      </c>
      <c r="G11" s="32">
        <v>100</v>
      </c>
      <c r="H11" s="70">
        <f>IF(OR(J11="",K11="",K11&lt;J11),0,NETWORKDAYS(J11,K11,fESTIVOS!$A$2:$A$53))</f>
        <v>0</v>
      </c>
      <c r="I11" s="43">
        <v>45834</v>
      </c>
      <c r="J11" s="16">
        <v>45848</v>
      </c>
      <c r="K11" s="38"/>
      <c r="L11" s="16">
        <v>45818</v>
      </c>
      <c r="M11" s="25">
        <f ca="1">IF(OR(J11="",AND(L11="",TODAY()&lt;J11),AND(L11&lt;&gt;"",L11&lt;J11)),0,
   IF(L11="",
      NETWORKDAYS(J11,TODAY(),fESTIVOS!$A$2:$A$53),
      NETWORKDAYS(J11,L11,fESTIVOS!$A$2:$A$53)
   )
)</f>
        <v>0</v>
      </c>
      <c r="N11" s="85"/>
      <c r="O11" s="85"/>
      <c r="P11" s="72">
        <v>45852</v>
      </c>
      <c r="Q11" s="86" t="s">
        <v>97</v>
      </c>
      <c r="R11" s="74" t="s">
        <v>38</v>
      </c>
      <c r="S11" s="29" t="s">
        <v>98</v>
      </c>
    </row>
    <row r="12" spans="1:19" ht="29.25" customHeight="1">
      <c r="A12" s="10" t="s">
        <v>59</v>
      </c>
      <c r="B12" s="81" t="s">
        <v>99</v>
      </c>
      <c r="C12" s="87" t="s">
        <v>100</v>
      </c>
      <c r="D12" s="88"/>
      <c r="E12" s="89" t="s">
        <v>80</v>
      </c>
      <c r="F12" s="52" t="s">
        <v>37</v>
      </c>
      <c r="G12" s="32">
        <v>100</v>
      </c>
      <c r="H12" s="70">
        <f>IF(OR(J12="",K12="",K12&lt;J12),0,NETWORKDAYS(J12,K12,fESTIVOS!$A$2:$A$53))</f>
        <v>0</v>
      </c>
      <c r="I12" s="43">
        <v>45853</v>
      </c>
      <c r="J12" s="16">
        <v>45853</v>
      </c>
      <c r="K12" s="38"/>
      <c r="L12" s="16">
        <v>45854</v>
      </c>
      <c r="M12" s="25">
        <f ca="1">IF(OR(J12="",AND(L12="",TODAY()&lt;J12),AND(L12&lt;&gt;"",L12&lt;J12)),0,
   IF(L12="",
      NETWORKDAYS(J12,TODAY(),fESTIVOS!$A$2:$A$53),
      NETWORKDAYS(J12,L12,fESTIVOS!$A$2:$A$53)
   )
)</f>
        <v>2</v>
      </c>
      <c r="N12" s="85"/>
      <c r="O12" s="85"/>
      <c r="P12" s="18"/>
      <c r="Q12" s="86" t="s">
        <v>101</v>
      </c>
      <c r="R12" s="74" t="s">
        <v>38</v>
      </c>
      <c r="S12" s="90"/>
    </row>
    <row r="13" spans="1:19" ht="39" customHeight="1">
      <c r="A13" s="10" t="s">
        <v>59</v>
      </c>
      <c r="B13" s="67" t="s">
        <v>102</v>
      </c>
      <c r="C13" s="91" t="s">
        <v>103</v>
      </c>
      <c r="D13" s="76"/>
      <c r="E13" s="69" t="s">
        <v>62</v>
      </c>
      <c r="F13" s="12" t="s">
        <v>37</v>
      </c>
      <c r="G13" s="32">
        <v>100</v>
      </c>
      <c r="H13" s="70">
        <f>IF(OR(J13="",K13="",K13&lt;J13),0,NETWORKDAYS(J13,K13,fESTIVOS!$A$2:$A$53))</f>
        <v>2</v>
      </c>
      <c r="I13" s="43">
        <v>45855</v>
      </c>
      <c r="J13" s="34">
        <v>45855</v>
      </c>
      <c r="K13" s="34">
        <v>45857</v>
      </c>
      <c r="L13" s="34">
        <v>45862</v>
      </c>
      <c r="M13" s="25">
        <f ca="1">IF(OR(J13="",AND(L13="",TODAY()&lt;J13),AND(L13&lt;&gt;"",L13&lt;J13)),0,
   IF(L13="",
      NETWORKDAYS(J13,TODAY(),fESTIVOS!$A$2:$A$53),
      NETWORKDAYS(J13,L13,fESTIVOS!$A$2:$A$53)
   )
)</f>
        <v>6</v>
      </c>
      <c r="N13" s="33"/>
      <c r="O13" s="33"/>
      <c r="P13" s="39"/>
      <c r="Q13" s="36" t="s">
        <v>104</v>
      </c>
      <c r="R13" s="74" t="s">
        <v>38</v>
      </c>
      <c r="S13" s="37" t="s">
        <v>105</v>
      </c>
    </row>
    <row r="14" spans="1:19" ht="29.25" customHeight="1">
      <c r="A14" s="10" t="s">
        <v>106</v>
      </c>
      <c r="B14" s="67" t="s">
        <v>107</v>
      </c>
      <c r="C14" s="60" t="s">
        <v>108</v>
      </c>
      <c r="D14" s="68"/>
      <c r="E14" s="69" t="s">
        <v>62</v>
      </c>
      <c r="F14" s="12" t="s">
        <v>37</v>
      </c>
      <c r="G14" s="32">
        <v>100</v>
      </c>
      <c r="H14" s="70">
        <f>IF(OR(J14="",K14="",K14&lt;J14),0,NETWORKDAYS(J14,K14,fESTIVOS!$A$2:$A$53))</f>
        <v>26</v>
      </c>
      <c r="I14" s="33"/>
      <c r="J14" s="34">
        <v>45859</v>
      </c>
      <c r="K14" s="17">
        <v>45896</v>
      </c>
      <c r="L14" s="17">
        <v>45944</v>
      </c>
      <c r="M14" s="25">
        <f ca="1">IF(OR(J14="",AND(L14="",TODAY()&lt;J14),AND(L14&lt;&gt;"",L14&lt;J14)),0,
   IF(L14="",
      NETWORKDAYS(J14,TODAY(),fESTIVOS!$A$2:$A$53),
      NETWORKDAYS(J14,L14,fESTIVOS!$A$2:$A$53)
   )
)</f>
        <v>59</v>
      </c>
      <c r="N14" s="33"/>
      <c r="O14" s="33"/>
      <c r="P14" s="39"/>
      <c r="Q14" s="92" t="s">
        <v>109</v>
      </c>
      <c r="R14" s="74" t="s">
        <v>38</v>
      </c>
      <c r="S14" s="93" t="s">
        <v>110</v>
      </c>
    </row>
    <row r="15" spans="1:19" ht="29.25" customHeight="1">
      <c r="A15" s="10" t="s">
        <v>59</v>
      </c>
      <c r="B15" s="67" t="s">
        <v>111</v>
      </c>
      <c r="C15" s="60" t="s">
        <v>112</v>
      </c>
      <c r="D15" s="68"/>
      <c r="E15" s="69" t="s">
        <v>62</v>
      </c>
      <c r="F15" s="12" t="s">
        <v>37</v>
      </c>
      <c r="G15" s="32">
        <v>100</v>
      </c>
      <c r="H15" s="70">
        <f>IF(OR(J15="",K15="",K15&lt;J15),0,NETWORKDAYS(J15,K15,fESTIVOS!$A$2:$A$53))</f>
        <v>4</v>
      </c>
      <c r="I15" s="43">
        <v>45940</v>
      </c>
      <c r="J15" s="34">
        <v>45940</v>
      </c>
      <c r="K15" s="17">
        <v>45946</v>
      </c>
      <c r="L15" s="17">
        <v>45951</v>
      </c>
      <c r="M15" s="25">
        <f ca="1">IF(OR(J15="",AND(L15="",TODAY()&lt;J15),AND(L15&lt;&gt;"",L15&lt;J15)),0,
   IF(L15="",
      NETWORKDAYS(J15,TODAY(),fESTIVOS!$A$2:$A$53),
      NETWORKDAYS(J15,L15,fESTIVOS!$A$2:$A$53)
   )
)</f>
        <v>7</v>
      </c>
      <c r="N15" s="33"/>
      <c r="O15" s="33"/>
      <c r="P15" s="39"/>
      <c r="Q15" s="92" t="s">
        <v>113</v>
      </c>
      <c r="R15" s="74" t="s">
        <v>38</v>
      </c>
      <c r="S15" s="93"/>
    </row>
    <row r="16" spans="1:19" ht="29.25" customHeight="1">
      <c r="A16" s="10" t="s">
        <v>59</v>
      </c>
      <c r="B16" s="67" t="s">
        <v>114</v>
      </c>
      <c r="C16" s="91" t="s">
        <v>115</v>
      </c>
      <c r="D16" s="68"/>
      <c r="E16" s="94" t="s">
        <v>62</v>
      </c>
      <c r="F16" s="12" t="s">
        <v>37</v>
      </c>
      <c r="G16" s="32">
        <v>100</v>
      </c>
      <c r="H16" s="70">
        <f>IF(OR(J16="",K16="",K16&lt;J16),0,NETWORKDAYS(J16,K16,fESTIVOS!$A$2:$A$53))</f>
        <v>0</v>
      </c>
      <c r="I16" s="43">
        <v>45855</v>
      </c>
      <c r="J16" s="34">
        <v>45855</v>
      </c>
      <c r="K16" s="15"/>
      <c r="L16" s="17">
        <v>45860</v>
      </c>
      <c r="M16" s="25">
        <f ca="1">IF(OR(J16="",AND(L16="",TODAY()&lt;J16),AND(L16&lt;&gt;"",L16&lt;J16)),0,
   IF(L16="",
      NETWORKDAYS(J16,TODAY(),fESTIVOS!$A$2:$A$53),
      NETWORKDAYS(J16,L16,fESTIVOS!$A$2:$A$53)
   )
)</f>
        <v>4</v>
      </c>
      <c r="N16" s="33"/>
      <c r="O16" s="33"/>
      <c r="P16" s="35">
        <v>45885</v>
      </c>
      <c r="Q16" s="41" t="s">
        <v>116</v>
      </c>
      <c r="R16" s="74" t="s">
        <v>38</v>
      </c>
      <c r="S16" s="95"/>
    </row>
    <row r="17" spans="1:19" ht="29.25" customHeight="1">
      <c r="A17" s="96" t="s">
        <v>117</v>
      </c>
      <c r="B17" s="67" t="s">
        <v>118</v>
      </c>
      <c r="C17" s="91" t="s">
        <v>119</v>
      </c>
      <c r="D17" s="68"/>
      <c r="E17" s="97" t="s">
        <v>62</v>
      </c>
      <c r="F17" s="12" t="s">
        <v>37</v>
      </c>
      <c r="G17" s="32">
        <v>100</v>
      </c>
      <c r="H17" s="70">
        <f>IF(OR(J17="",K17="",K17&lt;J17),0,NETWORKDAYS(J17,K17,fESTIVOS!$A$2:$A$53))</f>
        <v>1</v>
      </c>
      <c r="I17" s="43">
        <v>45863</v>
      </c>
      <c r="J17" s="34">
        <v>45863</v>
      </c>
      <c r="K17" s="17">
        <v>45863</v>
      </c>
      <c r="L17" s="34">
        <v>45885</v>
      </c>
      <c r="M17" s="25">
        <f ca="1">IF(OR(J17="",AND(L17="",TODAY()&lt;J17),AND(L17&lt;&gt;"",L17&lt;J17)),0,
   IF(L17="",
      NETWORKDAYS(J17,TODAY(),fESTIVOS!$A$2:$A$53),
      NETWORKDAYS(J17,L17,fESTIVOS!$A$2:$A$53)
   )
)</f>
        <v>15</v>
      </c>
      <c r="N17" s="43"/>
      <c r="O17" s="43"/>
      <c r="P17" s="39"/>
      <c r="Q17" s="41" t="s">
        <v>120</v>
      </c>
      <c r="R17" s="74" t="s">
        <v>38</v>
      </c>
      <c r="S17" s="42"/>
    </row>
    <row r="18" spans="1:19" ht="29.25" customHeight="1">
      <c r="A18" s="10" t="s">
        <v>59</v>
      </c>
      <c r="B18" s="67" t="s">
        <v>121</v>
      </c>
      <c r="C18" s="91" t="s">
        <v>122</v>
      </c>
      <c r="D18" s="98"/>
      <c r="E18" s="97" t="s">
        <v>62</v>
      </c>
      <c r="F18" s="44" t="s">
        <v>37</v>
      </c>
      <c r="G18" s="32">
        <v>100</v>
      </c>
      <c r="H18" s="70">
        <f>IF(OR(J18="",K18="",K18&lt;J18),0,NETWORKDAYS(J18,K18,fESTIVOS!$A$2:$A$53))</f>
        <v>2</v>
      </c>
      <c r="I18" s="43">
        <v>45863</v>
      </c>
      <c r="J18" s="34">
        <v>45866</v>
      </c>
      <c r="K18" s="34">
        <v>45867</v>
      </c>
      <c r="L18" s="34">
        <v>45870</v>
      </c>
      <c r="M18" s="25">
        <f ca="1">IF(OR(J18="",AND(L18="",TODAY()&lt;J18),AND(L18&lt;&gt;"",L18&lt;J18)),0,
   IF(L18="",
      NETWORKDAYS(J18,TODAY(),fESTIVOS!$A$2:$A$53),
      NETWORKDAYS(J18,L18,fESTIVOS!$A$2:$A$53)
   )
)</f>
        <v>5</v>
      </c>
      <c r="N18" s="43"/>
      <c r="O18" s="43"/>
      <c r="P18" s="35">
        <v>45885</v>
      </c>
      <c r="Q18" s="45" t="s">
        <v>123</v>
      </c>
      <c r="R18" s="74" t="s">
        <v>38</v>
      </c>
      <c r="S18" s="46"/>
    </row>
    <row r="19" spans="1:19" ht="29.25" customHeight="1">
      <c r="A19" s="10" t="s">
        <v>59</v>
      </c>
      <c r="B19" s="67" t="s">
        <v>124</v>
      </c>
      <c r="C19" s="91" t="s">
        <v>125</v>
      </c>
      <c r="D19" s="88"/>
      <c r="E19" s="97" t="s">
        <v>126</v>
      </c>
      <c r="F19" s="52" t="s">
        <v>37</v>
      </c>
      <c r="G19" s="32">
        <v>100</v>
      </c>
      <c r="H19" s="70">
        <f>IF(OR(J19="",K19="",K19&lt;J19),0,NETWORKDAYS(J19,K19,fESTIVOS!$A$2:$A$53))</f>
        <v>1</v>
      </c>
      <c r="I19" s="43">
        <v>45870</v>
      </c>
      <c r="J19" s="34">
        <v>45870</v>
      </c>
      <c r="K19" s="34">
        <v>45870</v>
      </c>
      <c r="L19" s="34">
        <v>45877</v>
      </c>
      <c r="M19" s="25">
        <f ca="1">IF(OR(J19="",AND(L19="",TODAY()&lt;J19),AND(L19&lt;&gt;"",L19&lt;J19)),0,
   IF(L19="",
      NETWORKDAYS(J19,TODAY(),fESTIVOS!$A$2:$A$53),
      NETWORKDAYS(J19,L19,fESTIVOS!$A$2:$A$53)
   )
)</f>
        <v>5</v>
      </c>
      <c r="N19" s="33"/>
      <c r="O19" s="33"/>
      <c r="P19" s="39"/>
      <c r="Q19" s="36" t="s">
        <v>127</v>
      </c>
      <c r="R19" s="74" t="s">
        <v>38</v>
      </c>
      <c r="S19" s="53"/>
    </row>
    <row r="20" spans="1:19" ht="29.25" customHeight="1">
      <c r="A20" s="10" t="s">
        <v>59</v>
      </c>
      <c r="B20" s="67" t="s">
        <v>128</v>
      </c>
      <c r="C20" s="91" t="s">
        <v>129</v>
      </c>
      <c r="D20" s="68"/>
      <c r="E20" s="69" t="s">
        <v>62</v>
      </c>
      <c r="F20" s="12" t="s">
        <v>37</v>
      </c>
      <c r="G20" s="32">
        <v>100</v>
      </c>
      <c r="H20" s="70">
        <f>IF(OR(J20="",K20="",K20&lt;J20),0,NETWORKDAYS(J20,K20,fESTIVOS!$A$2:$A$53))</f>
        <v>0</v>
      </c>
      <c r="I20" s="43">
        <v>45874</v>
      </c>
      <c r="J20" s="34">
        <v>45874</v>
      </c>
      <c r="K20" s="38"/>
      <c r="L20" s="34">
        <v>45882</v>
      </c>
      <c r="M20" s="25">
        <f ca="1">IF(OR(J20="",AND(L20="",TODAY()&lt;J20),AND(L20&lt;&gt;"",L20&lt;J20)),0,
   IF(L20="",
      NETWORKDAYS(J20,TODAY(),fESTIVOS!$A$2:$A$53),
      NETWORKDAYS(J20,L20,fESTIVOS!$A$2:$A$53)
   )
)</f>
        <v>6</v>
      </c>
      <c r="N20" s="33"/>
      <c r="O20" s="33"/>
      <c r="P20" s="35">
        <v>45885</v>
      </c>
      <c r="Q20" s="19" t="s">
        <v>130</v>
      </c>
      <c r="R20" s="74" t="s">
        <v>38</v>
      </c>
      <c r="S20" s="21"/>
    </row>
    <row r="21" spans="1:19" ht="29.25" customHeight="1">
      <c r="A21" s="10" t="s">
        <v>59</v>
      </c>
      <c r="B21" s="67" t="s">
        <v>131</v>
      </c>
      <c r="C21" s="99" t="s">
        <v>132</v>
      </c>
      <c r="D21" s="100"/>
      <c r="E21" s="69" t="s">
        <v>62</v>
      </c>
      <c r="F21" s="54" t="s">
        <v>37</v>
      </c>
      <c r="G21" s="55">
        <v>100</v>
      </c>
      <c r="H21" s="70">
        <f>IF(OR(J21="",K21="",K21&lt;J21),0,NETWORKDAYS(J21,K21,fESTIVOS!$A$2:$A$53))</f>
        <v>0</v>
      </c>
      <c r="I21" s="56">
        <v>45883</v>
      </c>
      <c r="J21" s="34">
        <v>45883</v>
      </c>
      <c r="K21" s="34"/>
      <c r="L21" s="34">
        <v>45883</v>
      </c>
      <c r="M21" s="25">
        <f ca="1">IF(OR(J21="",AND(L21="",TODAY()&lt;J21),AND(L21&lt;&gt;"",L21&lt;J21)),0,
   IF(L21="",
      NETWORKDAYS(J21,TODAY(),fESTIVOS!$A$2:$A$53),
      NETWORKDAYS(J21,L21,fESTIVOS!$A$2:$A$53)
   )
)</f>
        <v>1</v>
      </c>
      <c r="N21" s="43"/>
      <c r="O21" s="43"/>
      <c r="P21" s="35">
        <v>45885</v>
      </c>
      <c r="Q21" s="19" t="s">
        <v>133</v>
      </c>
      <c r="R21" s="74" t="s">
        <v>38</v>
      </c>
      <c r="S21" s="21"/>
    </row>
    <row r="22" spans="1:19" ht="29.25" customHeight="1">
      <c r="A22" s="10" t="s">
        <v>59</v>
      </c>
      <c r="B22" s="67" t="s">
        <v>134</v>
      </c>
      <c r="C22" s="99" t="s">
        <v>135</v>
      </c>
      <c r="D22" s="101" t="s">
        <v>136</v>
      </c>
      <c r="E22" s="69" t="s">
        <v>62</v>
      </c>
      <c r="F22" s="54" t="s">
        <v>37</v>
      </c>
      <c r="G22" s="55">
        <v>100</v>
      </c>
      <c r="H22" s="70">
        <f>IF(OR(J22="",K22="",K22&lt;J22),0,NETWORKDAYS(J22,K22,fESTIVOS!$A$2:$A$53))</f>
        <v>0</v>
      </c>
      <c r="I22" s="56"/>
      <c r="J22" s="34">
        <v>45895</v>
      </c>
      <c r="K22" s="34"/>
      <c r="L22" s="34">
        <v>45895</v>
      </c>
      <c r="M22" s="25">
        <f ca="1">IF(OR(J22="",AND(L22="",TODAY()&lt;J22),AND(L22&lt;&gt;"",L22&lt;J22)),0,
   IF(L22="",
      NETWORKDAYS(J22,TODAY(),fESTIVOS!$A$2:$A$53),
      NETWORKDAYS(J22,L22,fESTIVOS!$A$2:$A$53)
   )
)</f>
        <v>1</v>
      </c>
      <c r="N22" s="43"/>
      <c r="O22" s="43"/>
      <c r="P22" s="35"/>
      <c r="Q22" s="19" t="s">
        <v>137</v>
      </c>
      <c r="R22" s="74" t="s">
        <v>38</v>
      </c>
      <c r="S22" s="21"/>
    </row>
    <row r="23" spans="1:19" ht="29.25" customHeight="1">
      <c r="A23" s="10" t="s">
        <v>59</v>
      </c>
      <c r="B23" s="67" t="s">
        <v>138</v>
      </c>
      <c r="C23" s="91" t="s">
        <v>125</v>
      </c>
      <c r="D23" s="102" t="s">
        <v>139</v>
      </c>
      <c r="E23" s="69" t="s">
        <v>126</v>
      </c>
      <c r="F23" s="44" t="s">
        <v>37</v>
      </c>
      <c r="G23" s="32">
        <v>100</v>
      </c>
      <c r="H23" s="70">
        <f>IF(OR(J23="",K23="",K23&lt;J23),0,NETWORKDAYS(J23,K23,fESTIVOS!$A$2:$A$53))</f>
        <v>5</v>
      </c>
      <c r="I23" s="43">
        <v>45884</v>
      </c>
      <c r="J23" s="34">
        <v>45884</v>
      </c>
      <c r="K23" s="34">
        <v>45891</v>
      </c>
      <c r="L23" s="34">
        <v>45947</v>
      </c>
      <c r="M23" s="25">
        <f ca="1">IF(OR(J23="",AND(L23="",TODAY()&lt;J23),AND(L23&lt;&gt;"",L23&lt;J23)),0,
   IF(L23="",
      NETWORKDAYS(J23,TODAY(),fESTIVOS!$A$2:$A$53),
      NETWORKDAYS(J23,L23,fESTIVOS!$A$2:$A$53)
   )
)</f>
        <v>44</v>
      </c>
      <c r="N23" s="43"/>
      <c r="O23" s="43"/>
      <c r="P23" s="35"/>
      <c r="Q23" s="21" t="s">
        <v>140</v>
      </c>
      <c r="R23" s="74" t="s">
        <v>38</v>
      </c>
      <c r="S23" s="21"/>
    </row>
    <row r="24" spans="1:19" ht="29.25" customHeight="1">
      <c r="A24" s="10" t="s">
        <v>59</v>
      </c>
      <c r="B24" s="67" t="s">
        <v>141</v>
      </c>
      <c r="C24" s="91" t="s">
        <v>142</v>
      </c>
      <c r="D24" s="102"/>
      <c r="E24" s="69" t="s">
        <v>143</v>
      </c>
      <c r="F24" s="103" t="s">
        <v>37</v>
      </c>
      <c r="G24" s="32">
        <v>100</v>
      </c>
      <c r="H24" s="70">
        <f>IF(OR(J24="",K24="",K24&lt;J24),0,NETWORKDAYS(J24,K24,fESTIVOS!$A$2:$A$53))</f>
        <v>5</v>
      </c>
      <c r="I24" s="43">
        <v>45894</v>
      </c>
      <c r="J24" s="34">
        <v>45894</v>
      </c>
      <c r="K24" s="34">
        <v>45898</v>
      </c>
      <c r="L24" s="34">
        <v>45897</v>
      </c>
      <c r="M24" s="25">
        <f ca="1">IF(OR(J24="",AND(L24="",TODAY()&lt;J24),AND(L24&lt;&gt;"",L24&lt;J24)),0,
   IF(L24="",
      NETWORKDAYS(J24,TODAY(),fESTIVOS!$A$2:$A$53),
      NETWORKDAYS(J24,L24,fESTIVOS!$A$2:$A$53)
   )
)</f>
        <v>4</v>
      </c>
      <c r="N24" s="43"/>
      <c r="O24" s="43"/>
      <c r="P24" s="35"/>
      <c r="Q24" s="21" t="s">
        <v>144</v>
      </c>
      <c r="R24" s="74" t="s">
        <v>38</v>
      </c>
      <c r="S24" s="21"/>
    </row>
    <row r="25" spans="1:19" ht="29.25" customHeight="1">
      <c r="A25" s="10" t="s">
        <v>59</v>
      </c>
      <c r="B25" s="67" t="s">
        <v>145</v>
      </c>
      <c r="C25" s="91" t="s">
        <v>142</v>
      </c>
      <c r="D25" s="102"/>
      <c r="E25" s="69" t="s">
        <v>143</v>
      </c>
      <c r="F25" s="103" t="s">
        <v>37</v>
      </c>
      <c r="G25" s="32">
        <v>100</v>
      </c>
      <c r="H25" s="70">
        <f>IF(OR(J25="",K25="",K25&lt;J25),0,NETWORKDAYS(J25,K25,fESTIVOS!$A$2:$A$53))</f>
        <v>5</v>
      </c>
      <c r="I25" s="43">
        <v>45894</v>
      </c>
      <c r="J25" s="34">
        <v>45894</v>
      </c>
      <c r="K25" s="34">
        <v>45898</v>
      </c>
      <c r="L25" s="34">
        <v>45897</v>
      </c>
      <c r="M25" s="25">
        <f ca="1">IF(OR(J25="",AND(L25="",TODAY()&lt;J25),AND(L25&lt;&gt;"",L25&lt;J25)),0,
   IF(L25="",
      NETWORKDAYS(J25,TODAY(),fESTIVOS!$A$2:$A$53),
      NETWORKDAYS(J25,L25,fESTIVOS!$A$2:$A$53)
   )
)</f>
        <v>4</v>
      </c>
      <c r="N25" s="43"/>
      <c r="O25" s="43"/>
      <c r="P25" s="35"/>
      <c r="Q25" s="21" t="s">
        <v>146</v>
      </c>
      <c r="R25" s="74" t="s">
        <v>38</v>
      </c>
      <c r="S25" s="21"/>
    </row>
    <row r="26" spans="1:19" ht="29.25" customHeight="1">
      <c r="A26" s="10" t="s">
        <v>59</v>
      </c>
      <c r="B26" s="67" t="s">
        <v>147</v>
      </c>
      <c r="C26" s="91" t="s">
        <v>142</v>
      </c>
      <c r="D26" s="102"/>
      <c r="E26" s="69" t="s">
        <v>143</v>
      </c>
      <c r="F26" s="103" t="s">
        <v>37</v>
      </c>
      <c r="G26" s="32">
        <v>100</v>
      </c>
      <c r="H26" s="70">
        <f>IF(OR(J26="",K26="",K26&lt;J26),0,NETWORKDAYS(J26,K26,fESTIVOS!$A$2:$A$53))</f>
        <v>5</v>
      </c>
      <c r="I26" s="43">
        <v>45894</v>
      </c>
      <c r="J26" s="34">
        <v>45894</v>
      </c>
      <c r="K26" s="34">
        <v>45898</v>
      </c>
      <c r="L26" s="34">
        <v>45897</v>
      </c>
      <c r="M26" s="25">
        <f ca="1">IF(OR(J26="",AND(L26="",TODAY()&lt;J26),AND(L26&lt;&gt;"",L26&lt;J26)),0,
   IF(L26="",
      NETWORKDAYS(J26,TODAY(),fESTIVOS!$A$2:$A$53),
      NETWORKDAYS(J26,L26,fESTIVOS!$A$2:$A$53)
   )
)</f>
        <v>4</v>
      </c>
      <c r="N26" s="43"/>
      <c r="O26" s="43"/>
      <c r="P26" s="35"/>
      <c r="Q26" s="21" t="s">
        <v>148</v>
      </c>
      <c r="R26" s="74" t="s">
        <v>38</v>
      </c>
      <c r="S26" s="21"/>
    </row>
    <row r="27" spans="1:19" ht="29.25" customHeight="1">
      <c r="A27" s="10" t="s">
        <v>59</v>
      </c>
      <c r="B27" s="67" t="s">
        <v>149</v>
      </c>
      <c r="C27" s="91" t="s">
        <v>142</v>
      </c>
      <c r="D27" s="104"/>
      <c r="E27" s="69" t="s">
        <v>143</v>
      </c>
      <c r="F27" s="103" t="s">
        <v>37</v>
      </c>
      <c r="G27" s="32">
        <v>100</v>
      </c>
      <c r="H27" s="70">
        <f>IF(OR(J27="",K27="",K27&lt;J27),0,NETWORKDAYS(J27,K27,fESTIVOS!$A$2:$A$53))</f>
        <v>5</v>
      </c>
      <c r="I27" s="43">
        <v>45894</v>
      </c>
      <c r="J27" s="34">
        <v>45894</v>
      </c>
      <c r="K27" s="34">
        <v>45898</v>
      </c>
      <c r="L27" s="34">
        <v>45897</v>
      </c>
      <c r="M27" s="25">
        <f ca="1">IF(OR(J27="",AND(L27="",TODAY()&lt;J27),AND(L27&lt;&gt;"",L27&lt;J27)),0,
   IF(L27="",
      NETWORKDAYS(J27,TODAY(),fESTIVOS!$A$2:$A$53),
      NETWORKDAYS(J27,L27,fESTIVOS!$A$2:$A$53)
   )
)</f>
        <v>4</v>
      </c>
      <c r="N27" s="43"/>
      <c r="O27" s="43"/>
      <c r="P27" s="35"/>
      <c r="Q27" s="21" t="s">
        <v>150</v>
      </c>
      <c r="R27" s="74" t="s">
        <v>38</v>
      </c>
      <c r="S27" s="21"/>
    </row>
    <row r="28" spans="1:19" ht="29.25" customHeight="1">
      <c r="A28" s="10" t="s">
        <v>59</v>
      </c>
      <c r="B28" s="67" t="s">
        <v>151</v>
      </c>
      <c r="C28" s="91" t="s">
        <v>152</v>
      </c>
      <c r="D28" s="102"/>
      <c r="E28" s="69" t="s">
        <v>143</v>
      </c>
      <c r="F28" s="103" t="s">
        <v>37</v>
      </c>
      <c r="G28" s="32">
        <v>100</v>
      </c>
      <c r="H28" s="70">
        <f>IF(OR(J28="",K28="",K28&lt;J28),0,NETWORKDAYS(J28,K28,fESTIVOS!$A$2:$A$53))</f>
        <v>4</v>
      </c>
      <c r="I28" s="43">
        <v>45894</v>
      </c>
      <c r="J28" s="34">
        <v>45895</v>
      </c>
      <c r="K28" s="34">
        <v>45898</v>
      </c>
      <c r="L28" s="34">
        <v>45897</v>
      </c>
      <c r="M28" s="25">
        <f ca="1">IF(OR(J28="",AND(L28="",TODAY()&lt;J28),AND(L28&lt;&gt;"",L28&lt;J28)),0,
   IF(L28="",
      NETWORKDAYS(J28,TODAY(),fESTIVOS!$A$2:$A$53),
      NETWORKDAYS(J28,L28,fESTIVOS!$A$2:$A$53)
   )
)</f>
        <v>3</v>
      </c>
      <c r="N28" s="43"/>
      <c r="O28" s="43"/>
      <c r="P28" s="35"/>
      <c r="Q28" s="21" t="s">
        <v>153</v>
      </c>
      <c r="R28" s="74" t="s">
        <v>38</v>
      </c>
      <c r="S28" s="21"/>
    </row>
    <row r="29" spans="1:19" ht="29.25" customHeight="1">
      <c r="A29" s="10" t="s">
        <v>59</v>
      </c>
      <c r="B29" s="67" t="s">
        <v>154</v>
      </c>
      <c r="C29" s="91" t="s">
        <v>155</v>
      </c>
      <c r="D29" s="102"/>
      <c r="E29" s="69" t="s">
        <v>143</v>
      </c>
      <c r="F29" s="103" t="s">
        <v>37</v>
      </c>
      <c r="G29" s="32">
        <v>100</v>
      </c>
      <c r="H29" s="70">
        <f>IF(OR(J29="",K29="",K29&lt;J29),0,NETWORKDAYS(J29,K29,fESTIVOS!$A$2:$A$53))</f>
        <v>4</v>
      </c>
      <c r="I29" s="43">
        <v>45894</v>
      </c>
      <c r="J29" s="34">
        <v>45895</v>
      </c>
      <c r="K29" s="34">
        <v>45898</v>
      </c>
      <c r="L29" s="34">
        <v>45897</v>
      </c>
      <c r="M29" s="25">
        <f ca="1">IF(OR(J29="",AND(L29="",TODAY()&lt;J29),AND(L29&lt;&gt;"",L29&lt;J29)),0,
   IF(L29="",
      NETWORKDAYS(J29,TODAY(),fESTIVOS!$A$2:$A$53),
      NETWORKDAYS(J29,L29,fESTIVOS!$A$2:$A$53)
   )
)</f>
        <v>3</v>
      </c>
      <c r="N29" s="43"/>
      <c r="O29" s="43"/>
      <c r="P29" s="35"/>
      <c r="Q29" s="21" t="s">
        <v>156</v>
      </c>
      <c r="R29" s="74" t="s">
        <v>38</v>
      </c>
      <c r="S29" s="21"/>
    </row>
    <row r="30" spans="1:19" ht="29.25" customHeight="1">
      <c r="A30" s="10" t="s">
        <v>59</v>
      </c>
      <c r="B30" s="67" t="s">
        <v>157</v>
      </c>
      <c r="C30" s="91" t="s">
        <v>155</v>
      </c>
      <c r="D30" s="102"/>
      <c r="E30" s="69" t="s">
        <v>143</v>
      </c>
      <c r="F30" s="103" t="s">
        <v>37</v>
      </c>
      <c r="G30" s="32">
        <v>100</v>
      </c>
      <c r="H30" s="70">
        <f>IF(OR(J30="",K30="",K30&lt;J30),0,NETWORKDAYS(J30,K30,fESTIVOS!$A$2:$A$53))</f>
        <v>4</v>
      </c>
      <c r="I30" s="43">
        <v>45894</v>
      </c>
      <c r="J30" s="34">
        <v>45895</v>
      </c>
      <c r="K30" s="34">
        <v>45898</v>
      </c>
      <c r="L30" s="34">
        <v>45897</v>
      </c>
      <c r="M30" s="25">
        <f ca="1">IF(OR(J30="",AND(L30="",TODAY()&lt;J30),AND(L30&lt;&gt;"",L30&lt;J30)),0,
   IF(L30="",
      NETWORKDAYS(J30,TODAY(),fESTIVOS!$A$2:$A$53),
      NETWORKDAYS(J30,L30,fESTIVOS!$A$2:$A$53)
   )
)</f>
        <v>3</v>
      </c>
      <c r="N30" s="43"/>
      <c r="O30" s="43"/>
      <c r="P30" s="35"/>
      <c r="Q30" s="21" t="s">
        <v>158</v>
      </c>
      <c r="R30" s="74" t="s">
        <v>38</v>
      </c>
      <c r="S30" s="21"/>
    </row>
    <row r="31" spans="1:19" ht="29.25" customHeight="1">
      <c r="A31" s="10" t="s">
        <v>59</v>
      </c>
      <c r="B31" s="67" t="s">
        <v>159</v>
      </c>
      <c r="C31" s="91" t="s">
        <v>160</v>
      </c>
      <c r="D31" s="102"/>
      <c r="E31" s="69" t="s">
        <v>62</v>
      </c>
      <c r="F31" s="103" t="s">
        <v>37</v>
      </c>
      <c r="G31" s="32">
        <v>100</v>
      </c>
      <c r="H31" s="70">
        <f>IF(OR(J31="",K31="",K31&lt;J31),0,NETWORKDAYS(J31,K31,fESTIVOS!$A$2:$A$53))</f>
        <v>4</v>
      </c>
      <c r="I31" s="43">
        <v>45894</v>
      </c>
      <c r="J31" s="34">
        <v>45895</v>
      </c>
      <c r="K31" s="34">
        <v>45898</v>
      </c>
      <c r="L31" s="34">
        <v>45897</v>
      </c>
      <c r="M31" s="25">
        <f ca="1">IF(OR(J31="",AND(L31="",TODAY()&lt;J31),AND(L31&lt;&gt;"",L31&lt;J31)),0,
   IF(L31="",
      NETWORKDAYS(J31,TODAY(),fESTIVOS!$A$2:$A$53),
      NETWORKDAYS(J31,L31,fESTIVOS!$A$2:$A$53)
   )
)</f>
        <v>3</v>
      </c>
      <c r="N31" s="43"/>
      <c r="O31" s="43"/>
      <c r="P31" s="35"/>
      <c r="Q31" s="21" t="s">
        <v>161</v>
      </c>
      <c r="R31" s="74" t="s">
        <v>38</v>
      </c>
      <c r="S31" s="21"/>
    </row>
    <row r="32" spans="1:19" ht="29.25" customHeight="1">
      <c r="A32" s="10" t="s">
        <v>59</v>
      </c>
      <c r="B32" s="67" t="s">
        <v>162</v>
      </c>
      <c r="C32" s="91" t="s">
        <v>160</v>
      </c>
      <c r="D32" s="102"/>
      <c r="E32" s="69" t="s">
        <v>62</v>
      </c>
      <c r="F32" s="44" t="s">
        <v>37</v>
      </c>
      <c r="G32" s="32">
        <v>100</v>
      </c>
      <c r="H32" s="70">
        <f>IF(OR(J32="",K32="",K32&lt;J32),0,NETWORKDAYS(J32,K32,fESTIVOS!$A$2:$A$53))</f>
        <v>4</v>
      </c>
      <c r="I32" s="43">
        <v>45894</v>
      </c>
      <c r="J32" s="34">
        <v>45896</v>
      </c>
      <c r="K32" s="34">
        <v>45901</v>
      </c>
      <c r="L32" s="34">
        <v>45930</v>
      </c>
      <c r="M32" s="25">
        <f ca="1">IF(OR(J32="",AND(L32="",TODAY()&lt;J32),AND(L32&lt;&gt;"",L32&lt;J32)),0,
   IF(L32="",
      NETWORKDAYS(J32,TODAY(),fESTIVOS!$A$2:$A$53),
      NETWORKDAYS(J32,L32,fESTIVOS!$A$2:$A$53)
   )
)</f>
        <v>25</v>
      </c>
      <c r="N32" s="43"/>
      <c r="O32" s="43"/>
      <c r="P32" s="35"/>
      <c r="Q32" s="21" t="s">
        <v>163</v>
      </c>
      <c r="R32" s="74" t="s">
        <v>38</v>
      </c>
      <c r="S32" s="21"/>
    </row>
    <row r="33" spans="1:19" ht="29.25" customHeight="1">
      <c r="A33" s="10" t="s">
        <v>59</v>
      </c>
      <c r="B33" s="67" t="s">
        <v>164</v>
      </c>
      <c r="C33" s="91" t="s">
        <v>165</v>
      </c>
      <c r="D33" s="102"/>
      <c r="E33" s="69" t="s">
        <v>62</v>
      </c>
      <c r="F33" s="44" t="s">
        <v>37</v>
      </c>
      <c r="G33" s="32">
        <v>100</v>
      </c>
      <c r="H33" s="70">
        <f>IF(OR(J33="",K33="",K33&lt;J33),0,NETWORKDAYS(J33,K33,fESTIVOS!$A$2:$A$53))</f>
        <v>0</v>
      </c>
      <c r="I33" s="43">
        <v>45894</v>
      </c>
      <c r="J33" s="34">
        <v>45930</v>
      </c>
      <c r="K33" s="34">
        <v>45901</v>
      </c>
      <c r="L33" s="34">
        <v>45930</v>
      </c>
      <c r="M33" s="25">
        <f ca="1">IF(OR(J33="",AND(L33="",TODAY()&lt;J33),AND(L33&lt;&gt;"",L33&lt;J33)),0,
   IF(L33="",
      NETWORKDAYS(J33,TODAY(),fESTIVOS!$A$2:$A$53),
      NETWORKDAYS(J33,L33,fESTIVOS!$A$2:$A$53)
   )
)</f>
        <v>1</v>
      </c>
      <c r="N33" s="43"/>
      <c r="O33" s="43"/>
      <c r="P33" s="35"/>
      <c r="Q33" s="21" t="s">
        <v>166</v>
      </c>
      <c r="R33" s="74" t="s">
        <v>38</v>
      </c>
      <c r="S33" s="21"/>
    </row>
    <row r="34" spans="1:19" ht="29.25" customHeight="1">
      <c r="A34" s="10" t="s">
        <v>59</v>
      </c>
      <c r="B34" s="67" t="s">
        <v>167</v>
      </c>
      <c r="C34" s="91" t="s">
        <v>168</v>
      </c>
      <c r="D34" s="102"/>
      <c r="E34" s="69" t="s">
        <v>62</v>
      </c>
      <c r="F34" s="44" t="s">
        <v>37</v>
      </c>
      <c r="G34" s="32">
        <v>100</v>
      </c>
      <c r="H34" s="70">
        <f>IF(OR(J34="",K34="",K34&lt;J34),0,NETWORKDAYS(J34,K34,fESTIVOS!$A$2:$A$53))</f>
        <v>0</v>
      </c>
      <c r="I34" s="43">
        <v>45894</v>
      </c>
      <c r="J34" s="34">
        <v>45930</v>
      </c>
      <c r="K34" s="34">
        <v>45901</v>
      </c>
      <c r="L34" s="34">
        <v>45930</v>
      </c>
      <c r="M34" s="25">
        <f ca="1">IF(OR(J34="",AND(L34="",TODAY()&lt;J34),AND(L34&lt;&gt;"",L34&lt;J34)),0,
   IF(L34="",
      NETWORKDAYS(J34,TODAY(),fESTIVOS!$A$2:$A$53),
      NETWORKDAYS(J34,L34,fESTIVOS!$A$2:$A$53)
   )
)</f>
        <v>1</v>
      </c>
      <c r="N34" s="43"/>
      <c r="O34" s="43"/>
      <c r="P34" s="35"/>
      <c r="Q34" s="21" t="s">
        <v>169</v>
      </c>
      <c r="R34" s="74" t="s">
        <v>38</v>
      </c>
      <c r="S34" s="21"/>
    </row>
    <row r="35" spans="1:19" ht="29.25" customHeight="1">
      <c r="A35" s="10" t="s">
        <v>59</v>
      </c>
      <c r="B35" s="67" t="s">
        <v>170</v>
      </c>
      <c r="C35" s="91" t="s">
        <v>171</v>
      </c>
      <c r="D35" s="102"/>
      <c r="E35" s="69" t="s">
        <v>62</v>
      </c>
      <c r="F35" s="44" t="s">
        <v>37</v>
      </c>
      <c r="G35" s="32">
        <v>100</v>
      </c>
      <c r="H35" s="70">
        <f>IF(OR(J35="",K35="",K35&lt;J35),0,NETWORKDAYS(J35,K35,fESTIVOS!$A$2:$A$53))</f>
        <v>0</v>
      </c>
      <c r="I35" s="43">
        <v>45894</v>
      </c>
      <c r="J35" s="34">
        <v>45947</v>
      </c>
      <c r="K35" s="34">
        <v>45901</v>
      </c>
      <c r="L35" s="34">
        <v>45947</v>
      </c>
      <c r="M35" s="25">
        <f ca="1">IF(OR(J35="",AND(L35="",TODAY()&lt;J35),AND(L35&lt;&gt;"",L35&lt;J35)),0,
   IF(L35="",
      NETWORKDAYS(J35,TODAY(),fESTIVOS!$A$2:$A$53),
      NETWORKDAYS(J35,L35,fESTIVOS!$A$2:$A$53)
   )
)</f>
        <v>1</v>
      </c>
      <c r="N35" s="43"/>
      <c r="O35" s="43"/>
      <c r="P35" s="35"/>
      <c r="Q35" s="21" t="s">
        <v>172</v>
      </c>
      <c r="R35" s="74" t="s">
        <v>38</v>
      </c>
      <c r="S35" s="21"/>
    </row>
    <row r="36" spans="1:19" ht="29.25" customHeight="1">
      <c r="A36" s="10" t="s">
        <v>59</v>
      </c>
      <c r="B36" s="67" t="s">
        <v>173</v>
      </c>
      <c r="C36" s="91" t="s">
        <v>174</v>
      </c>
      <c r="D36" s="102"/>
      <c r="E36" s="69" t="s">
        <v>143</v>
      </c>
      <c r="F36" s="103" t="s">
        <v>37</v>
      </c>
      <c r="G36" s="32">
        <v>100</v>
      </c>
      <c r="H36" s="70">
        <f>IF(OR(J36="",K36="",K36&lt;J36),0,NETWORKDAYS(J36,K36,fESTIVOS!$A$2:$A$53))</f>
        <v>4</v>
      </c>
      <c r="I36" s="43">
        <v>45894</v>
      </c>
      <c r="J36" s="34">
        <v>45895</v>
      </c>
      <c r="K36" s="34">
        <v>45898</v>
      </c>
      <c r="L36" s="34">
        <v>45897</v>
      </c>
      <c r="M36" s="25">
        <f ca="1">IF(OR(J36="",AND(L36="",TODAY()&lt;J36),AND(L36&lt;&gt;"",L36&lt;J36)),0,
   IF(L36="",
      NETWORKDAYS(J36,TODAY(),fESTIVOS!$A$2:$A$53),
      NETWORKDAYS(J36,L36,fESTIVOS!$A$2:$A$53)
   )
)</f>
        <v>3</v>
      </c>
      <c r="N36" s="43"/>
      <c r="O36" s="43"/>
      <c r="P36" s="35"/>
      <c r="Q36" s="21" t="s">
        <v>175</v>
      </c>
      <c r="R36" s="74" t="s">
        <v>38</v>
      </c>
      <c r="S36" s="21"/>
    </row>
    <row r="37" spans="1:19" ht="29.25" customHeight="1">
      <c r="A37" s="10" t="s">
        <v>59</v>
      </c>
      <c r="B37" s="67" t="s">
        <v>176</v>
      </c>
      <c r="C37" s="91" t="s">
        <v>177</v>
      </c>
      <c r="D37" s="102"/>
      <c r="E37" s="69" t="s">
        <v>62</v>
      </c>
      <c r="F37" s="44" t="s">
        <v>37</v>
      </c>
      <c r="G37" s="32">
        <v>100</v>
      </c>
      <c r="H37" s="70">
        <f>IF(OR(J37="",K37="",K37&lt;J37),0,NETWORKDAYS(J37,K37,fESTIVOS!$A$2:$A$53))</f>
        <v>0</v>
      </c>
      <c r="I37" s="43">
        <v>45894</v>
      </c>
      <c r="J37" s="34">
        <v>45930</v>
      </c>
      <c r="K37" s="34">
        <v>45902</v>
      </c>
      <c r="L37" s="34">
        <v>45930</v>
      </c>
      <c r="M37" s="25">
        <f ca="1">IF(OR(J37="",AND(L37="",TODAY()&lt;J37),AND(L37&lt;&gt;"",L37&lt;J37)),0,
   IF(L37="",
      NETWORKDAYS(J37,TODAY(),fESTIVOS!$A$2:$A$53),
      NETWORKDAYS(J37,L37,fESTIVOS!$A$2:$A$53)
   )
)</f>
        <v>1</v>
      </c>
      <c r="N37" s="105"/>
      <c r="O37" s="105"/>
      <c r="P37" s="35"/>
      <c r="Q37" s="21" t="s">
        <v>178</v>
      </c>
      <c r="R37" s="74" t="s">
        <v>38</v>
      </c>
      <c r="S37" s="21"/>
    </row>
    <row r="38" spans="1:19" ht="29.25" customHeight="1">
      <c r="A38" s="10" t="s">
        <v>59</v>
      </c>
      <c r="B38" s="67" t="s">
        <v>179</v>
      </c>
      <c r="C38" s="91" t="s">
        <v>180</v>
      </c>
      <c r="D38" s="102"/>
      <c r="E38" s="69" t="s">
        <v>62</v>
      </c>
      <c r="F38" s="44" t="s">
        <v>37</v>
      </c>
      <c r="G38" s="32">
        <v>100</v>
      </c>
      <c r="H38" s="70">
        <f>IF(OR(J38="",K38="",K38&lt;J38),0,NETWORKDAYS(J38,K38,fESTIVOS!$A$2:$A$53))</f>
        <v>3</v>
      </c>
      <c r="I38" s="43">
        <v>45894</v>
      </c>
      <c r="J38" s="34">
        <v>45938</v>
      </c>
      <c r="K38" s="34">
        <v>45940</v>
      </c>
      <c r="L38" s="34">
        <v>45947</v>
      </c>
      <c r="M38" s="25">
        <f ca="1">IF(OR(J38="",AND(L38="",TODAY()&lt;J38),AND(L38&lt;&gt;"",L38&lt;J38)),0,
   IF(L38="",
      NETWORKDAYS(J38,TODAY(),fESTIVOS!$A$2:$A$53),
      NETWORKDAYS(J38,L38,fESTIVOS!$A$2:$A$53)
   )
)</f>
        <v>7</v>
      </c>
      <c r="N38" s="43"/>
      <c r="O38" s="43"/>
      <c r="P38" s="35"/>
      <c r="Q38" s="21" t="s">
        <v>181</v>
      </c>
      <c r="R38" s="74" t="s">
        <v>38</v>
      </c>
      <c r="S38" s="21"/>
    </row>
    <row r="39" spans="1:19" ht="29.25" customHeight="1">
      <c r="A39" s="106" t="s">
        <v>59</v>
      </c>
      <c r="B39" s="107" t="s">
        <v>182</v>
      </c>
      <c r="C39" s="108" t="s">
        <v>183</v>
      </c>
      <c r="D39" s="109" t="s">
        <v>184</v>
      </c>
      <c r="E39" s="110" t="s">
        <v>143</v>
      </c>
      <c r="F39" s="111" t="s">
        <v>37</v>
      </c>
      <c r="G39" s="112">
        <v>100</v>
      </c>
      <c r="H39" s="70">
        <f>IF(OR(J39="",K39="",K39&lt;J39),0,NETWORKDAYS(J39,K39,fESTIVOS!$A$2:$A$53))</f>
        <v>3</v>
      </c>
      <c r="I39" s="113">
        <v>45901</v>
      </c>
      <c r="J39" s="114">
        <v>45901</v>
      </c>
      <c r="K39" s="114">
        <v>45903</v>
      </c>
      <c r="L39" s="114">
        <v>45919</v>
      </c>
      <c r="M39" s="25">
        <f ca="1">IF(OR(J39="",AND(L39="",TODAY()&lt;J39),AND(L39&lt;&gt;"",L39&lt;J39)),0,
   IF(L39="",
      NETWORKDAYS(J39,TODAY(),fESTIVOS!$A$2:$A$53),
      NETWORKDAYS(J39,L39,fESTIVOS!$A$2:$A$53)
   )
)</f>
        <v>15</v>
      </c>
      <c r="N39" s="115"/>
      <c r="O39" s="115"/>
      <c r="P39" s="116"/>
      <c r="Q39" s="117" t="s">
        <v>185</v>
      </c>
      <c r="R39" s="118" t="s">
        <v>38</v>
      </c>
      <c r="S39" s="119"/>
    </row>
    <row r="40" spans="1:19" ht="29.25" customHeight="1">
      <c r="A40" s="10" t="s">
        <v>59</v>
      </c>
      <c r="B40" s="67" t="s">
        <v>186</v>
      </c>
      <c r="C40" s="91" t="s">
        <v>187</v>
      </c>
      <c r="D40" s="102" t="s">
        <v>188</v>
      </c>
      <c r="E40" s="69" t="s">
        <v>62</v>
      </c>
      <c r="F40" s="44" t="s">
        <v>37</v>
      </c>
      <c r="G40" s="32">
        <v>100</v>
      </c>
      <c r="H40" s="70">
        <f>IF(OR(J40="",K40="",K40&lt;J40),0,NETWORKDAYS(J40,K40,fESTIVOS!$A$2:$A$53))</f>
        <v>4</v>
      </c>
      <c r="I40" s="43">
        <v>45898</v>
      </c>
      <c r="J40" s="34">
        <v>45898</v>
      </c>
      <c r="K40" s="114">
        <v>45903</v>
      </c>
      <c r="L40" s="34">
        <v>45932</v>
      </c>
      <c r="M40" s="25">
        <f ca="1">IF(OR(J40="",AND(L40="",TODAY()&lt;J40),AND(L40&lt;&gt;"",L40&lt;J40)),0,
   IF(L40="",
      NETWORKDAYS(J40,TODAY(),fESTIVOS!$A$2:$A$53),
      NETWORKDAYS(J40,L40,fESTIVOS!$A$2:$A$53)
   )
)</f>
        <v>25</v>
      </c>
      <c r="N40" s="43"/>
      <c r="O40" s="43"/>
      <c r="P40" s="35"/>
      <c r="Q40" s="117" t="s">
        <v>189</v>
      </c>
      <c r="R40" s="74" t="s">
        <v>38</v>
      </c>
      <c r="S40" s="21"/>
    </row>
    <row r="41" spans="1:19" ht="29.25" customHeight="1">
      <c r="A41" s="10" t="s">
        <v>59</v>
      </c>
      <c r="B41" s="67" t="s">
        <v>190</v>
      </c>
      <c r="C41" s="91" t="s">
        <v>191</v>
      </c>
      <c r="D41" s="102" t="s">
        <v>192</v>
      </c>
      <c r="E41" s="69" t="s">
        <v>62</v>
      </c>
      <c r="F41" s="44" t="s">
        <v>37</v>
      </c>
      <c r="G41" s="32">
        <v>100</v>
      </c>
      <c r="H41" s="70">
        <f>IF(OR(J41="",K41="",K41&lt;J41),0,NETWORKDAYS(J41,K41,fESTIVOS!$A$2:$A$53))</f>
        <v>3</v>
      </c>
      <c r="I41" s="43">
        <v>45901</v>
      </c>
      <c r="J41" s="34">
        <v>45901</v>
      </c>
      <c r="K41" s="114">
        <v>45903</v>
      </c>
      <c r="L41" s="34">
        <v>45903</v>
      </c>
      <c r="M41" s="25">
        <f ca="1">IF(OR(J41="",AND(L41="",TODAY()&lt;J41),AND(L41&lt;&gt;"",L41&lt;J41)),0,
   IF(L41="",
      NETWORKDAYS(J41,TODAY(),fESTIVOS!$A$2:$A$53),
      NETWORKDAYS(J41,L41,fESTIVOS!$A$2:$A$53)
   )
)</f>
        <v>3</v>
      </c>
      <c r="N41" s="43"/>
      <c r="O41" s="43"/>
      <c r="P41" s="35"/>
      <c r="Q41" s="117" t="s">
        <v>193</v>
      </c>
      <c r="R41" s="74" t="s">
        <v>38</v>
      </c>
      <c r="S41" s="21"/>
    </row>
    <row r="42" spans="1:19" ht="29.25" customHeight="1">
      <c r="A42" s="10" t="s">
        <v>59</v>
      </c>
      <c r="B42" s="67" t="s">
        <v>194</v>
      </c>
      <c r="C42" s="91" t="s">
        <v>195</v>
      </c>
      <c r="D42" s="102"/>
      <c r="E42" s="107" t="s">
        <v>126</v>
      </c>
      <c r="F42" s="44" t="s">
        <v>37</v>
      </c>
      <c r="G42" s="32">
        <v>100</v>
      </c>
      <c r="H42" s="70">
        <f>IF(OR(J42="",K42="",K42&lt;J42),0,NETWORKDAYS(J42,K42,fESTIVOS!$A$2:$A$53))</f>
        <v>1</v>
      </c>
      <c r="I42" s="43">
        <v>45902</v>
      </c>
      <c r="J42" s="34">
        <v>45903</v>
      </c>
      <c r="K42" s="114">
        <v>45903</v>
      </c>
      <c r="L42" s="34">
        <v>45903</v>
      </c>
      <c r="M42" s="25">
        <f ca="1">IF(OR(J42="",AND(L42="",TODAY()&lt;J42),AND(L42&lt;&gt;"",L42&lt;J42)),0,
   IF(L42="",
      NETWORKDAYS(J42,TODAY(),fESTIVOS!$A$2:$A$53),
      NETWORKDAYS(J42,L42,fESTIVOS!$A$2:$A$53)
   )
)</f>
        <v>1</v>
      </c>
      <c r="N42" s="43"/>
      <c r="O42" s="43"/>
      <c r="P42" s="35"/>
      <c r="Q42" s="117" t="s">
        <v>196</v>
      </c>
      <c r="R42" s="74" t="s">
        <v>38</v>
      </c>
      <c r="S42" s="21"/>
    </row>
    <row r="43" spans="1:19" ht="29.25" customHeight="1">
      <c r="A43" s="106" t="s">
        <v>59</v>
      </c>
      <c r="B43" s="107" t="s">
        <v>197</v>
      </c>
      <c r="C43" s="108" t="s">
        <v>198</v>
      </c>
      <c r="D43" s="120" t="s">
        <v>199</v>
      </c>
      <c r="E43" s="110" t="s">
        <v>62</v>
      </c>
      <c r="F43" s="111" t="s">
        <v>37</v>
      </c>
      <c r="G43" s="112">
        <v>100</v>
      </c>
      <c r="H43" s="70">
        <f>IF(OR(J43="",K43="",K43&lt;J43),0,NETWORKDAYS(J43,K43,fESTIVOS!$A$2:$A$53))</f>
        <v>3</v>
      </c>
      <c r="I43" s="113">
        <v>45903</v>
      </c>
      <c r="J43" s="114">
        <v>45903</v>
      </c>
      <c r="K43" s="121">
        <v>45905</v>
      </c>
      <c r="L43" s="114">
        <v>46041</v>
      </c>
      <c r="M43" s="25">
        <f ca="1">IF(OR(J43="",AND(L43="",TODAY()&lt;J43),AND(L43&lt;&gt;"",L43&lt;J43)),0,
   IF(L43="",
      NETWORKDAYS(J43,TODAY(),fESTIVOS!$A$2:$A$53),
      NETWORKDAYS(J43,L43,fESTIVOS!$A$2:$A$53)
   )
)</f>
        <v>92</v>
      </c>
      <c r="N43" s="115"/>
      <c r="O43" s="115"/>
      <c r="P43" s="116"/>
      <c r="Q43" s="122" t="s">
        <v>200</v>
      </c>
      <c r="R43" s="118" t="s">
        <v>38</v>
      </c>
      <c r="S43" s="119"/>
    </row>
    <row r="44" spans="1:19" ht="29.25" customHeight="1">
      <c r="A44" s="106" t="s">
        <v>59</v>
      </c>
      <c r="B44" s="67" t="s">
        <v>201</v>
      </c>
      <c r="C44" s="108" t="s">
        <v>202</v>
      </c>
      <c r="D44" s="123"/>
      <c r="E44" s="124" t="s">
        <v>126</v>
      </c>
      <c r="F44" s="111" t="s">
        <v>37</v>
      </c>
      <c r="G44" s="112">
        <v>100</v>
      </c>
      <c r="H44" s="70">
        <f>IF(OR(J44="",K44="",K44&lt;J44),0,NETWORKDAYS(J44,K44,fESTIVOS!$A$2:$A$53))</f>
        <v>4</v>
      </c>
      <c r="I44" s="113">
        <v>45905</v>
      </c>
      <c r="J44" s="114">
        <v>45905</v>
      </c>
      <c r="K44" s="121">
        <v>45910</v>
      </c>
      <c r="L44" s="114">
        <v>45910</v>
      </c>
      <c r="M44" s="25">
        <f ca="1">IF(OR(J44="",AND(L44="",TODAY()&lt;J44),AND(L44&lt;&gt;"",L44&lt;J44)),0,
   IF(L44="",
      NETWORKDAYS(J44,TODAY(),fESTIVOS!$A$2:$A$53),
      NETWORKDAYS(J44,L44,fESTIVOS!$A$2:$A$53)
   )
)</f>
        <v>4</v>
      </c>
      <c r="N44" s="115"/>
      <c r="O44" s="115"/>
      <c r="P44" s="116"/>
      <c r="Q44" s="122" t="s">
        <v>203</v>
      </c>
      <c r="R44" s="118" t="s">
        <v>38</v>
      </c>
      <c r="S44" s="119"/>
    </row>
    <row r="45" spans="1:19" ht="29.25" customHeight="1">
      <c r="A45" s="106" t="s">
        <v>59</v>
      </c>
      <c r="B45" s="67" t="s">
        <v>204</v>
      </c>
      <c r="C45" s="108" t="s">
        <v>202</v>
      </c>
      <c r="D45" s="123"/>
      <c r="E45" s="124" t="s">
        <v>126</v>
      </c>
      <c r="F45" s="111" t="s">
        <v>37</v>
      </c>
      <c r="G45" s="112">
        <v>100</v>
      </c>
      <c r="H45" s="70">
        <f>IF(OR(J45="",K45="",K45&lt;J45),0,NETWORKDAYS(J45,K45,fESTIVOS!$A$2:$A$53))</f>
        <v>4</v>
      </c>
      <c r="I45" s="113">
        <v>45905</v>
      </c>
      <c r="J45" s="114">
        <v>45905</v>
      </c>
      <c r="K45" s="121">
        <v>45910</v>
      </c>
      <c r="L45" s="114">
        <v>45910</v>
      </c>
      <c r="M45" s="25">
        <f ca="1">IF(OR(J45="",AND(L45="",TODAY()&lt;J45),AND(L45&lt;&gt;"",L45&lt;J45)),0,
   IF(L45="",
      NETWORKDAYS(J45,TODAY(),fESTIVOS!$A$2:$A$53),
      NETWORKDAYS(J45,L45,fESTIVOS!$A$2:$A$53)
   )
)</f>
        <v>4</v>
      </c>
      <c r="N45" s="115"/>
      <c r="O45" s="115"/>
      <c r="P45" s="116"/>
      <c r="Q45" s="122" t="s">
        <v>203</v>
      </c>
      <c r="R45" s="118" t="s">
        <v>38</v>
      </c>
      <c r="S45" s="119"/>
    </row>
    <row r="46" spans="1:19" ht="29.25" customHeight="1">
      <c r="A46" s="10" t="s">
        <v>106</v>
      </c>
      <c r="B46" s="67" t="s">
        <v>205</v>
      </c>
      <c r="C46" s="91" t="s">
        <v>206</v>
      </c>
      <c r="D46" s="98"/>
      <c r="E46" s="97" t="s">
        <v>62</v>
      </c>
      <c r="F46" s="44" t="s">
        <v>37</v>
      </c>
      <c r="G46" s="32">
        <v>100</v>
      </c>
      <c r="H46" s="70">
        <f>IF(OR(J46="",K46="",K46&lt;J46),0,NETWORKDAYS(J46,K46,fESTIVOS!$A$2:$A$53))</f>
        <v>0</v>
      </c>
      <c r="I46" s="56">
        <v>45884</v>
      </c>
      <c r="J46" s="34">
        <v>45884</v>
      </c>
      <c r="K46" s="34"/>
      <c r="L46" s="34">
        <v>45888</v>
      </c>
      <c r="M46" s="25">
        <f ca="1">IF(OR(J46="",AND(L46="",TODAY()&lt;J46),AND(L46&lt;&gt;"",L46&lt;J46)),0,
   IF(L46="",
      NETWORKDAYS(J46,TODAY(),fESTIVOS!$A$2:$A$53),
      NETWORKDAYS(J46,L46,fESTIVOS!$A$2:$A$53)
   )
)</f>
        <v>2</v>
      </c>
      <c r="N46" s="43"/>
      <c r="O46" s="43"/>
      <c r="P46" s="48"/>
      <c r="Q46" s="21" t="s">
        <v>207</v>
      </c>
      <c r="R46" s="74" t="s">
        <v>38</v>
      </c>
      <c r="S46" s="49"/>
    </row>
    <row r="47" spans="1:19" ht="29.25" customHeight="1">
      <c r="A47" s="10" t="s">
        <v>59</v>
      </c>
      <c r="B47" s="67" t="s">
        <v>208</v>
      </c>
      <c r="C47" s="91" t="s">
        <v>209</v>
      </c>
      <c r="D47" s="98"/>
      <c r="E47" s="97" t="s">
        <v>62</v>
      </c>
      <c r="F47" s="44" t="s">
        <v>37</v>
      </c>
      <c r="G47" s="32">
        <v>100</v>
      </c>
      <c r="H47" s="70">
        <f>IF(OR(J47="",K47="",K47&lt;J47),0,NETWORKDAYS(J47,K47,fESTIVOS!$A$2:$A$53))</f>
        <v>2</v>
      </c>
      <c r="I47" s="43">
        <v>45889</v>
      </c>
      <c r="J47" s="34">
        <v>45889</v>
      </c>
      <c r="K47" s="34">
        <v>45890</v>
      </c>
      <c r="L47" s="34">
        <v>45889</v>
      </c>
      <c r="M47" s="25">
        <f ca="1">IF(OR(J47="",AND(L47="",TODAY()&lt;J47),AND(L47&lt;&gt;"",L47&lt;J47)),0,
   IF(L47="",
      NETWORKDAYS(J47,TODAY(),fESTIVOS!$A$2:$A$53),
      NETWORKDAYS(J47,L47,fESTIVOS!$A$2:$A$53)
   )
)</f>
        <v>1</v>
      </c>
      <c r="N47" s="43"/>
      <c r="O47" s="43"/>
      <c r="P47" s="48"/>
      <c r="Q47" s="21" t="s">
        <v>210</v>
      </c>
      <c r="R47" s="74" t="s">
        <v>38</v>
      </c>
      <c r="S47" s="49"/>
    </row>
    <row r="48" spans="1:19" ht="29.25" customHeight="1">
      <c r="A48" s="10" t="s">
        <v>59</v>
      </c>
      <c r="B48" s="67" t="s">
        <v>211</v>
      </c>
      <c r="C48" s="91" t="s">
        <v>212</v>
      </c>
      <c r="D48" s="98"/>
      <c r="E48" s="97" t="s">
        <v>62</v>
      </c>
      <c r="F48" s="44" t="s">
        <v>37</v>
      </c>
      <c r="G48" s="32">
        <v>100</v>
      </c>
      <c r="H48" s="70">
        <f>IF(OR(J48="",K48="",K48&lt;J48),0,NETWORKDAYS(J48,K48,fESTIVOS!$A$2:$A$53))</f>
        <v>2</v>
      </c>
      <c r="I48" s="43">
        <v>45889</v>
      </c>
      <c r="J48" s="34">
        <v>45889</v>
      </c>
      <c r="K48" s="34">
        <v>45890</v>
      </c>
      <c r="L48" s="34">
        <v>45889</v>
      </c>
      <c r="M48" s="25">
        <f ca="1">IF(OR(J48="",AND(L48="",TODAY()&lt;J48),AND(L48&lt;&gt;"",L48&lt;J48)),0,
   IF(L48="",
      NETWORKDAYS(J48,TODAY(),fESTIVOS!$A$2:$A$53),
      NETWORKDAYS(J48,L48,fESTIVOS!$A$2:$A$53)
   )
)</f>
        <v>1</v>
      </c>
      <c r="N48" s="43"/>
      <c r="O48" s="43"/>
      <c r="P48" s="48"/>
      <c r="Q48" s="21" t="s">
        <v>213</v>
      </c>
      <c r="R48" s="74" t="s">
        <v>38</v>
      </c>
      <c r="S48" s="49"/>
    </row>
    <row r="49" spans="1:19" ht="29.25" customHeight="1">
      <c r="A49" s="10" t="s">
        <v>59</v>
      </c>
      <c r="B49" s="67" t="s">
        <v>214</v>
      </c>
      <c r="C49" s="91" t="s">
        <v>215</v>
      </c>
      <c r="D49" s="98"/>
      <c r="E49" s="97" t="s">
        <v>62</v>
      </c>
      <c r="F49" s="44" t="s">
        <v>37</v>
      </c>
      <c r="G49" s="32">
        <v>100</v>
      </c>
      <c r="H49" s="70">
        <f>IF(OR(J49="",K49="",K49&lt;J49),0,NETWORKDAYS(J49,K49,fESTIVOS!$A$2:$A$53))</f>
        <v>2</v>
      </c>
      <c r="I49" s="43">
        <v>45889</v>
      </c>
      <c r="J49" s="34">
        <v>45889</v>
      </c>
      <c r="K49" s="34">
        <v>45890</v>
      </c>
      <c r="L49" s="34">
        <v>45889</v>
      </c>
      <c r="M49" s="25">
        <f ca="1">IF(OR(J49="",AND(L49="",TODAY()&lt;J49),AND(L49&lt;&gt;"",L49&lt;J49)),0,
   IF(L49="",
      NETWORKDAYS(J49,TODAY(),fESTIVOS!$A$2:$A$53),
      NETWORKDAYS(J49,L49,fESTIVOS!$A$2:$A$53)
   )
)</f>
        <v>1</v>
      </c>
      <c r="N49" s="43"/>
      <c r="O49" s="43"/>
      <c r="P49" s="48"/>
      <c r="Q49" s="21" t="s">
        <v>216</v>
      </c>
      <c r="R49" s="74" t="s">
        <v>38</v>
      </c>
      <c r="S49" s="49"/>
    </row>
    <row r="50" spans="1:19" ht="29.25" customHeight="1">
      <c r="A50" s="10" t="s">
        <v>59</v>
      </c>
      <c r="B50" s="67" t="s">
        <v>217</v>
      </c>
      <c r="C50" s="91" t="s">
        <v>218</v>
      </c>
      <c r="D50" s="98"/>
      <c r="E50" s="97" t="s">
        <v>62</v>
      </c>
      <c r="F50" s="44" t="s">
        <v>37</v>
      </c>
      <c r="G50" s="32">
        <v>100</v>
      </c>
      <c r="H50" s="70">
        <f>IF(OR(J50="",K50="",K50&lt;J50),0,NETWORKDAYS(J50,K50,fESTIVOS!$A$2:$A$53))</f>
        <v>2</v>
      </c>
      <c r="I50" s="43">
        <v>45889</v>
      </c>
      <c r="J50" s="34">
        <v>45889</v>
      </c>
      <c r="K50" s="34">
        <v>45890</v>
      </c>
      <c r="L50" s="34">
        <v>45889</v>
      </c>
      <c r="M50" s="25">
        <f ca="1">IF(OR(J50="",AND(L50="",TODAY()&lt;J50),AND(L50&lt;&gt;"",L50&lt;J50)),0,
   IF(L50="",
      NETWORKDAYS(J50,TODAY(),fESTIVOS!$A$2:$A$53),
      NETWORKDAYS(J50,L50,fESTIVOS!$A$2:$A$53)
   )
)</f>
        <v>1</v>
      </c>
      <c r="N50" s="43"/>
      <c r="O50" s="43"/>
      <c r="P50" s="48"/>
      <c r="Q50" s="21" t="s">
        <v>219</v>
      </c>
      <c r="R50" s="74" t="s">
        <v>38</v>
      </c>
      <c r="S50" s="49"/>
    </row>
    <row r="51" spans="1:19" ht="29.25" customHeight="1">
      <c r="A51" s="10" t="s">
        <v>59</v>
      </c>
      <c r="B51" s="107" t="s">
        <v>220</v>
      </c>
      <c r="C51" s="125" t="s">
        <v>218</v>
      </c>
      <c r="D51" s="126"/>
      <c r="E51" s="127" t="s">
        <v>62</v>
      </c>
      <c r="F51" s="128" t="s">
        <v>37</v>
      </c>
      <c r="G51" s="129">
        <v>100</v>
      </c>
      <c r="H51" s="70">
        <f>IF(OR(J51="",K51="",K51&lt;J51),0,NETWORKDAYS(J51,K51,fESTIVOS!$A$2:$A$53))</f>
        <v>2</v>
      </c>
      <c r="I51" s="130">
        <v>45889</v>
      </c>
      <c r="J51" s="131">
        <v>45889</v>
      </c>
      <c r="K51" s="131">
        <v>45890</v>
      </c>
      <c r="L51" s="131">
        <v>45889</v>
      </c>
      <c r="M51" s="25">
        <f ca="1">IF(OR(J51="",AND(L51="",TODAY()&lt;J51),AND(L51&lt;&gt;"",L51&lt;J51)),0,
   IF(L51="",
      NETWORKDAYS(J51,TODAY(),fESTIVOS!$A$2:$A$53),
      NETWORKDAYS(J51,L51,fESTIVOS!$A$2:$A$53)
   )
)</f>
        <v>1</v>
      </c>
      <c r="N51" s="115"/>
      <c r="O51" s="115"/>
      <c r="P51" s="116"/>
      <c r="Q51" s="21" t="s">
        <v>221</v>
      </c>
      <c r="R51" s="74" t="s">
        <v>38</v>
      </c>
      <c r="S51" s="132"/>
    </row>
    <row r="52" spans="1:19" ht="29.25" customHeight="1">
      <c r="A52" s="10" t="s">
        <v>59</v>
      </c>
      <c r="B52" s="107" t="s">
        <v>222</v>
      </c>
      <c r="C52" s="125" t="s">
        <v>218</v>
      </c>
      <c r="D52" s="126"/>
      <c r="E52" s="133" t="s">
        <v>62</v>
      </c>
      <c r="F52" s="128" t="s">
        <v>37</v>
      </c>
      <c r="G52" s="129">
        <v>100</v>
      </c>
      <c r="H52" s="70">
        <f>IF(OR(J52="",K52="",K52&lt;J52),0,NETWORKDAYS(J52,K52,fESTIVOS!$A$2:$A$53))</f>
        <v>2</v>
      </c>
      <c r="I52" s="130">
        <v>45889</v>
      </c>
      <c r="J52" s="131">
        <v>45889</v>
      </c>
      <c r="K52" s="131">
        <v>45890</v>
      </c>
      <c r="L52" s="131">
        <v>45889</v>
      </c>
      <c r="M52" s="25">
        <f ca="1">IF(OR(J52="",AND(L52="",TODAY()&lt;J52),AND(L52&lt;&gt;"",L52&lt;J52)),0,
   IF(L52="",
      NETWORKDAYS(J52,TODAY(),fESTIVOS!$A$2:$A$53),
      NETWORKDAYS(J52,L52,fESTIVOS!$A$2:$A$53)
   )
)</f>
        <v>1</v>
      </c>
      <c r="N52" s="115"/>
      <c r="O52" s="115"/>
      <c r="P52" s="116"/>
      <c r="Q52" s="21" t="s">
        <v>223</v>
      </c>
      <c r="R52" s="74" t="s">
        <v>38</v>
      </c>
      <c r="S52" s="132"/>
    </row>
    <row r="53" spans="1:19" ht="29.25" customHeight="1">
      <c r="A53" s="10" t="s">
        <v>59</v>
      </c>
      <c r="B53" s="67" t="s">
        <v>224</v>
      </c>
      <c r="C53" s="91" t="s">
        <v>225</v>
      </c>
      <c r="D53" s="126"/>
      <c r="E53" s="69" t="s">
        <v>126</v>
      </c>
      <c r="F53" s="128" t="s">
        <v>37</v>
      </c>
      <c r="G53" s="129">
        <v>100</v>
      </c>
      <c r="H53" s="70">
        <f>IF(OR(J53="",K53="",K53&lt;J53),0,NETWORKDAYS(J53,K53,fESTIVOS!$A$2:$A$53))</f>
        <v>2</v>
      </c>
      <c r="I53" s="113">
        <v>45890</v>
      </c>
      <c r="J53" s="114">
        <v>45890</v>
      </c>
      <c r="K53" s="114">
        <v>45891</v>
      </c>
      <c r="L53" s="114">
        <v>45890</v>
      </c>
      <c r="M53" s="25">
        <f ca="1">IF(OR(J53="",AND(L53="",TODAY()&lt;J53),AND(L53&lt;&gt;"",L53&lt;J53)),0,
   IF(L53="",
      NETWORKDAYS(J53,TODAY(),fESTIVOS!$A$2:$A$53),
      NETWORKDAYS(J53,L53,fESTIVOS!$A$2:$A$53)
   )
)</f>
        <v>1</v>
      </c>
      <c r="N53" s="115"/>
      <c r="O53" s="115"/>
      <c r="P53" s="116"/>
      <c r="Q53" s="21" t="s">
        <v>226</v>
      </c>
      <c r="R53" s="74" t="s">
        <v>38</v>
      </c>
      <c r="S53" s="132"/>
    </row>
    <row r="54" spans="1:19" ht="29.25" customHeight="1">
      <c r="A54" s="10" t="s">
        <v>59</v>
      </c>
      <c r="B54" s="67" t="s">
        <v>227</v>
      </c>
      <c r="C54" s="91" t="s">
        <v>228</v>
      </c>
      <c r="D54" s="102" t="s">
        <v>229</v>
      </c>
      <c r="E54" s="69" t="s">
        <v>126</v>
      </c>
      <c r="F54" s="134" t="s">
        <v>37</v>
      </c>
      <c r="G54" s="135">
        <v>100</v>
      </c>
      <c r="H54" s="70">
        <f>IF(OR(J54="",K54="",K54&lt;J54),0,NETWORKDAYS(J54,K54,fESTIVOS!$A$2:$A$53))</f>
        <v>1</v>
      </c>
      <c r="I54" s="113">
        <v>45890</v>
      </c>
      <c r="J54" s="114">
        <v>45891</v>
      </c>
      <c r="K54" s="114">
        <v>45891</v>
      </c>
      <c r="L54" s="114">
        <v>45891</v>
      </c>
      <c r="M54" s="25">
        <f ca="1">IF(OR(J54="",AND(L54="",TODAY()&lt;J54),AND(L54&lt;&gt;"",L54&lt;J54)),0,
   IF(L54="",
      NETWORKDAYS(J54,TODAY(),fESTIVOS!$A$2:$A$53),
      NETWORKDAYS(J54,L54,fESTIVOS!$A$2:$A$53)
   )
)</f>
        <v>1</v>
      </c>
      <c r="N54" s="115"/>
      <c r="O54" s="115"/>
      <c r="P54" s="116"/>
      <c r="Q54" s="21" t="s">
        <v>230</v>
      </c>
      <c r="R54" s="136" t="s">
        <v>38</v>
      </c>
      <c r="S54" s="132"/>
    </row>
    <row r="55" spans="1:19" ht="29.25" customHeight="1">
      <c r="A55" s="10" t="s">
        <v>59</v>
      </c>
      <c r="B55" s="67" t="s">
        <v>231</v>
      </c>
      <c r="C55" s="91" t="s">
        <v>232</v>
      </c>
      <c r="D55" s="126"/>
      <c r="E55" s="69" t="s">
        <v>126</v>
      </c>
      <c r="F55" s="137" t="s">
        <v>37</v>
      </c>
      <c r="G55" s="138">
        <v>100</v>
      </c>
      <c r="H55" s="70">
        <f>IF(OR(J55="",K55="",K55&lt;J55),0,NETWORKDAYS(J55,K55,fESTIVOS!$A$2:$A$53))</f>
        <v>2</v>
      </c>
      <c r="I55" s="113">
        <v>45890</v>
      </c>
      <c r="J55" s="114">
        <v>45890</v>
      </c>
      <c r="K55" s="114">
        <v>45891</v>
      </c>
      <c r="L55" s="114">
        <v>45890</v>
      </c>
      <c r="M55" s="25">
        <f ca="1">IF(OR(J55="",AND(L55="",TODAY()&lt;J55),AND(L55&lt;&gt;"",L55&lt;J55)),0,
   IF(L55="",
      NETWORKDAYS(J55,TODAY(),fESTIVOS!$A$2:$A$53),
      NETWORKDAYS(J55,L55,fESTIVOS!$A$2:$A$53)
   )
)</f>
        <v>1</v>
      </c>
      <c r="N55" s="115"/>
      <c r="O55" s="115"/>
      <c r="P55" s="116"/>
      <c r="Q55" s="21" t="s">
        <v>233</v>
      </c>
      <c r="R55" s="136" t="s">
        <v>38</v>
      </c>
      <c r="S55" s="132"/>
    </row>
    <row r="56" spans="1:19" ht="29.25" customHeight="1">
      <c r="A56" s="10" t="s">
        <v>59</v>
      </c>
      <c r="B56" s="67" t="s">
        <v>234</v>
      </c>
      <c r="C56" s="91" t="s">
        <v>235</v>
      </c>
      <c r="D56" s="109" t="s">
        <v>236</v>
      </c>
      <c r="E56" s="69" t="s">
        <v>126</v>
      </c>
      <c r="F56" s="134" t="s">
        <v>37</v>
      </c>
      <c r="G56" s="135">
        <v>100</v>
      </c>
      <c r="H56" s="70">
        <f>IF(OR(J56="",K56="",K56&lt;J56),0,NETWORKDAYS(J56,K56,fESTIVOS!$A$2:$A$53))</f>
        <v>2</v>
      </c>
      <c r="I56" s="113">
        <v>45890</v>
      </c>
      <c r="J56" s="114">
        <v>45890</v>
      </c>
      <c r="K56" s="114">
        <v>45892</v>
      </c>
      <c r="L56" s="114">
        <v>45892</v>
      </c>
      <c r="M56" s="25">
        <f ca="1">IF(OR(J56="",AND(L56="",TODAY()&lt;J56),AND(L56&lt;&gt;"",L56&lt;J56)),0,
   IF(L56="",
      NETWORKDAYS(J56,TODAY(),fESTIVOS!$A$2:$A$53),
      NETWORKDAYS(J56,L56,fESTIVOS!$A$2:$A$53)
   )
)</f>
        <v>2</v>
      </c>
      <c r="N56" s="115"/>
      <c r="O56" s="115"/>
      <c r="P56" s="116"/>
      <c r="Q56" s="21" t="s">
        <v>237</v>
      </c>
      <c r="R56" s="136" t="s">
        <v>38</v>
      </c>
      <c r="S56" s="132"/>
    </row>
    <row r="57" spans="1:19" ht="29.25" customHeight="1">
      <c r="A57" s="106" t="s">
        <v>59</v>
      </c>
      <c r="B57" s="67" t="s">
        <v>238</v>
      </c>
      <c r="C57" s="108" t="s">
        <v>239</v>
      </c>
      <c r="D57" s="120" t="s">
        <v>240</v>
      </c>
      <c r="E57" s="124" t="s">
        <v>126</v>
      </c>
      <c r="F57" s="111" t="s">
        <v>37</v>
      </c>
      <c r="G57" s="112">
        <v>100</v>
      </c>
      <c r="H57" s="70">
        <f>IF(OR(J57="",K57="",K57&lt;J57),0,NETWORKDAYS(J57,K57,fESTIVOS!$A$2:$A$53))</f>
        <v>3</v>
      </c>
      <c r="I57" s="113">
        <v>45910</v>
      </c>
      <c r="J57" s="114">
        <v>45910</v>
      </c>
      <c r="K57" s="121">
        <v>45912</v>
      </c>
      <c r="L57" s="114">
        <v>45937</v>
      </c>
      <c r="M57" s="25">
        <f ca="1">IF(OR(J57="",AND(L57="",TODAY()&lt;J57),AND(L57&lt;&gt;"",L57&lt;J57)),0,
   IF(L57="",
      NETWORKDAYS(J57,TODAY(),fESTIVOS!$A$2:$A$53),
      NETWORKDAYS(J57,L57,fESTIVOS!$A$2:$A$53)
   )
)</f>
        <v>20</v>
      </c>
      <c r="N57" s="115"/>
      <c r="O57" s="115"/>
      <c r="P57" s="116"/>
      <c r="Q57" s="122" t="s">
        <v>241</v>
      </c>
      <c r="R57" s="118" t="s">
        <v>38</v>
      </c>
      <c r="S57" s="119"/>
    </row>
    <row r="58" spans="1:19" ht="29.25" customHeight="1">
      <c r="A58" s="106" t="s">
        <v>59</v>
      </c>
      <c r="B58" s="67" t="s">
        <v>242</v>
      </c>
      <c r="C58" s="108" t="s">
        <v>243</v>
      </c>
      <c r="D58" s="120" t="s">
        <v>244</v>
      </c>
      <c r="E58" s="124" t="s">
        <v>126</v>
      </c>
      <c r="F58" s="111" t="s">
        <v>37</v>
      </c>
      <c r="G58" s="112">
        <v>100</v>
      </c>
      <c r="H58" s="70">
        <f>IF(OR(J58="",K58="",K58&lt;J58),0,NETWORKDAYS(J58,K58,fESTIVOS!$A$2:$A$53))</f>
        <v>2</v>
      </c>
      <c r="I58" s="113">
        <v>45912</v>
      </c>
      <c r="J58" s="114">
        <v>45912</v>
      </c>
      <c r="K58" s="121">
        <v>45915</v>
      </c>
      <c r="L58" s="114">
        <v>45937</v>
      </c>
      <c r="M58" s="25">
        <f ca="1">IF(OR(J58="",AND(L58="",TODAY()&lt;J58),AND(L58&lt;&gt;"",L58&lt;J58)),0,
   IF(L58="",
      NETWORKDAYS(J58,TODAY(),fESTIVOS!$A$2:$A$53),
      NETWORKDAYS(J58,L58,fESTIVOS!$A$2:$A$53)
   )
)</f>
        <v>18</v>
      </c>
      <c r="N58" s="115"/>
      <c r="O58" s="115"/>
      <c r="P58" s="116"/>
      <c r="Q58" s="122" t="s">
        <v>245</v>
      </c>
      <c r="R58" s="118" t="s">
        <v>38</v>
      </c>
      <c r="S58" s="119"/>
    </row>
    <row r="59" spans="1:19" ht="29.25" customHeight="1">
      <c r="A59" s="139" t="s">
        <v>59</v>
      </c>
      <c r="B59" s="107" t="s">
        <v>246</v>
      </c>
      <c r="C59" s="140" t="s">
        <v>247</v>
      </c>
      <c r="D59" s="120" t="s">
        <v>248</v>
      </c>
      <c r="E59" s="110" t="s">
        <v>126</v>
      </c>
      <c r="F59" s="141" t="s">
        <v>37</v>
      </c>
      <c r="G59" s="142">
        <v>100</v>
      </c>
      <c r="H59" s="70">
        <f>IF(OR(J59="",K59="",K59&lt;J59),0,NETWORKDAYS(J59,K59,fESTIVOS!$A$2:$A$53))</f>
        <v>2</v>
      </c>
      <c r="I59" s="113">
        <v>45912</v>
      </c>
      <c r="J59" s="114">
        <v>45912</v>
      </c>
      <c r="K59" s="121">
        <v>45915</v>
      </c>
      <c r="L59" s="114">
        <v>45937</v>
      </c>
      <c r="M59" s="25">
        <f ca="1">IF(OR(J59="",AND(L59="",TODAY()&lt;J59),AND(L59&lt;&gt;"",L59&lt;J59)),0,
   IF(L59="",
      NETWORKDAYS(J59,TODAY(),fESTIVOS!$A$2:$A$53),
      NETWORKDAYS(J59,L59,fESTIVOS!$A$2:$A$53)
   )
)</f>
        <v>18</v>
      </c>
      <c r="N59" s="143"/>
      <c r="O59" s="143"/>
      <c r="P59" s="144"/>
      <c r="Q59" s="122" t="s">
        <v>249</v>
      </c>
      <c r="R59" s="118" t="s">
        <v>38</v>
      </c>
      <c r="S59" s="119"/>
    </row>
    <row r="60" spans="1:19" ht="29.25" customHeight="1">
      <c r="A60" s="139" t="s">
        <v>59</v>
      </c>
      <c r="B60" s="124" t="s">
        <v>250</v>
      </c>
      <c r="C60" s="140" t="s">
        <v>251</v>
      </c>
      <c r="D60" s="145" t="s">
        <v>252</v>
      </c>
      <c r="E60" s="110" t="s">
        <v>126</v>
      </c>
      <c r="F60" s="141" t="s">
        <v>37</v>
      </c>
      <c r="G60" s="142">
        <v>100</v>
      </c>
      <c r="H60" s="70">
        <f>IF(OR(J60="",K60="",K60&lt;J60),0,NETWORKDAYS(J60,K60,fESTIVOS!$A$2:$A$53))</f>
        <v>3</v>
      </c>
      <c r="I60" s="146">
        <v>45917</v>
      </c>
      <c r="J60" s="121">
        <v>45917</v>
      </c>
      <c r="K60" s="121">
        <v>45919</v>
      </c>
      <c r="L60" s="114">
        <v>45937</v>
      </c>
      <c r="M60" s="25">
        <f ca="1">IF(OR(J60="",AND(L60="",TODAY()&lt;J60),AND(L60&lt;&gt;"",L60&lt;J60)),0,
   IF(L60="",
      NETWORKDAYS(J60,TODAY(),fESTIVOS!$A$2:$A$53),
      NETWORKDAYS(J60,L60,fESTIVOS!$A$2:$A$53)
   )
)</f>
        <v>15</v>
      </c>
      <c r="N60" s="143"/>
      <c r="O60" s="143"/>
      <c r="P60" s="144"/>
      <c r="Q60" s="122" t="s">
        <v>253</v>
      </c>
      <c r="R60" s="118" t="s">
        <v>38</v>
      </c>
      <c r="S60" s="119"/>
    </row>
    <row r="61" spans="1:19" ht="29.25" customHeight="1">
      <c r="A61" s="139" t="s">
        <v>59</v>
      </c>
      <c r="B61" s="124" t="s">
        <v>254</v>
      </c>
      <c r="C61" s="140" t="s">
        <v>255</v>
      </c>
      <c r="D61" s="145" t="s">
        <v>256</v>
      </c>
      <c r="E61" s="110" t="s">
        <v>126</v>
      </c>
      <c r="F61" s="141" t="s">
        <v>37</v>
      </c>
      <c r="G61" s="142">
        <v>100</v>
      </c>
      <c r="H61" s="70">
        <f>IF(OR(J61="",K61="",K61&lt;J61),0,NETWORKDAYS(J61,K61,fESTIVOS!$A$2:$A$53))</f>
        <v>3</v>
      </c>
      <c r="I61" s="146">
        <v>45917</v>
      </c>
      <c r="J61" s="121">
        <v>45917</v>
      </c>
      <c r="K61" s="121">
        <v>45919</v>
      </c>
      <c r="L61" s="114">
        <v>45937</v>
      </c>
      <c r="M61" s="25">
        <f ca="1">IF(OR(J61="",AND(L61="",TODAY()&lt;J61),AND(L61&lt;&gt;"",L61&lt;J61)),0,
   IF(L61="",
      NETWORKDAYS(J61,TODAY(),fESTIVOS!$A$2:$A$53),
      NETWORKDAYS(J61,L61,fESTIVOS!$A$2:$A$53)
   )
)</f>
        <v>15</v>
      </c>
      <c r="N61" s="143"/>
      <c r="O61" s="143"/>
      <c r="P61" s="144"/>
      <c r="Q61" s="122" t="s">
        <v>257</v>
      </c>
      <c r="R61" s="118" t="s">
        <v>38</v>
      </c>
      <c r="S61" s="119"/>
    </row>
    <row r="62" spans="1:19" ht="39" customHeight="1">
      <c r="A62" s="10" t="s">
        <v>59</v>
      </c>
      <c r="B62" s="67" t="s">
        <v>258</v>
      </c>
      <c r="C62" s="91" t="s">
        <v>259</v>
      </c>
      <c r="D62" s="147" t="s">
        <v>260</v>
      </c>
      <c r="E62" s="69" t="s">
        <v>62</v>
      </c>
      <c r="F62" s="12" t="s">
        <v>37</v>
      </c>
      <c r="G62" s="32">
        <v>100</v>
      </c>
      <c r="H62" s="70">
        <f>IF(OR(J62="",K62="",K62&lt;J62),0,NETWORKDAYS(J62,K62,fESTIVOS!$A$2:$A$53))</f>
        <v>1</v>
      </c>
      <c r="I62" s="43">
        <v>45919</v>
      </c>
      <c r="J62" s="34">
        <v>45919</v>
      </c>
      <c r="K62" s="34">
        <v>45919</v>
      </c>
      <c r="L62" s="34">
        <v>45919</v>
      </c>
      <c r="M62" s="25">
        <f ca="1">IF(OR(J62="",AND(L62="",TODAY()&lt;J62),AND(L62&lt;&gt;"",L62&lt;J62)),0,
   IF(L62="",
      NETWORKDAYS(J62,TODAY(),fESTIVOS!$A$2:$A$53),
      NETWORKDAYS(J62,L62,fESTIVOS!$A$2:$A$53)
   )
)</f>
        <v>1</v>
      </c>
      <c r="N62" s="33"/>
      <c r="O62" s="33"/>
      <c r="P62" s="39"/>
      <c r="Q62" s="122" t="s">
        <v>261</v>
      </c>
      <c r="R62" s="74" t="s">
        <v>38</v>
      </c>
      <c r="S62" s="37"/>
    </row>
    <row r="63" spans="1:19" ht="29.25" customHeight="1">
      <c r="A63" s="139" t="s">
        <v>59</v>
      </c>
      <c r="B63" s="124" t="s">
        <v>262</v>
      </c>
      <c r="C63" s="140" t="s">
        <v>263</v>
      </c>
      <c r="D63" s="145" t="s">
        <v>264</v>
      </c>
      <c r="E63" s="110" t="s">
        <v>126</v>
      </c>
      <c r="F63" s="141" t="s">
        <v>37</v>
      </c>
      <c r="G63" s="142">
        <v>100</v>
      </c>
      <c r="H63" s="70">
        <f>IF(OR(J63="",K63="",K63&lt;J63),0,NETWORKDAYS(J63,K63,fESTIVOS!$A$2:$A$53))</f>
        <v>0</v>
      </c>
      <c r="I63" s="146">
        <v>45922</v>
      </c>
      <c r="J63" s="121">
        <v>45922</v>
      </c>
      <c r="K63" s="121"/>
      <c r="L63" s="121">
        <v>45937</v>
      </c>
      <c r="M63" s="25">
        <f ca="1">IF(OR(J63="",AND(L63="",TODAY()&lt;J63),AND(L63&lt;&gt;"",L63&lt;J63)),0,
   IF(L63="",
      NETWORKDAYS(J63,TODAY(),fESTIVOS!$A$2:$A$53),
      NETWORKDAYS(J63,L63,fESTIVOS!$A$2:$A$53)
   )
)</f>
        <v>12</v>
      </c>
      <c r="N63" s="143"/>
      <c r="O63" s="143"/>
      <c r="P63" s="144"/>
      <c r="Q63" s="122" t="s">
        <v>265</v>
      </c>
      <c r="R63" s="118" t="s">
        <v>38</v>
      </c>
      <c r="S63" s="119"/>
    </row>
    <row r="64" spans="1:19" ht="29.25" customHeight="1">
      <c r="A64" s="139" t="s">
        <v>59</v>
      </c>
      <c r="B64" s="124" t="s">
        <v>266</v>
      </c>
      <c r="C64" s="140" t="s">
        <v>263</v>
      </c>
      <c r="D64" s="145" t="s">
        <v>267</v>
      </c>
      <c r="E64" s="110" t="s">
        <v>126</v>
      </c>
      <c r="F64" s="141" t="s">
        <v>37</v>
      </c>
      <c r="G64" s="142">
        <v>100</v>
      </c>
      <c r="H64" s="70">
        <f>IF(OR(J64="",K64="",K64&lt;J64),0,NETWORKDAYS(J64,K64,fESTIVOS!$A$2:$A$53))</f>
        <v>0</v>
      </c>
      <c r="I64" s="146">
        <v>45922</v>
      </c>
      <c r="J64" s="121">
        <v>45922</v>
      </c>
      <c r="K64" s="121"/>
      <c r="L64" s="121">
        <v>45937</v>
      </c>
      <c r="M64" s="25">
        <f ca="1">IF(OR(J64="",AND(L64="",TODAY()&lt;J64),AND(L64&lt;&gt;"",L64&lt;J64)),0,
   IF(L64="",
      NETWORKDAYS(J64,TODAY(),fESTIVOS!$A$2:$A$53),
      NETWORKDAYS(J64,L64,fESTIVOS!$A$2:$A$53)
   )
)</f>
        <v>12</v>
      </c>
      <c r="N64" s="143"/>
      <c r="O64" s="143"/>
      <c r="P64" s="144"/>
      <c r="Q64" s="122" t="s">
        <v>268</v>
      </c>
      <c r="R64" s="118" t="s">
        <v>38</v>
      </c>
      <c r="S64" s="119"/>
    </row>
    <row r="65" spans="1:19" ht="29.25" customHeight="1">
      <c r="A65" s="139" t="s">
        <v>59</v>
      </c>
      <c r="B65" s="124" t="s">
        <v>269</v>
      </c>
      <c r="C65" s="140" t="s">
        <v>270</v>
      </c>
      <c r="D65" s="145" t="s">
        <v>271</v>
      </c>
      <c r="E65" s="110" t="s">
        <v>126</v>
      </c>
      <c r="F65" s="141" t="s">
        <v>37</v>
      </c>
      <c r="G65" s="142">
        <v>100</v>
      </c>
      <c r="H65" s="70">
        <f>IF(OR(J65="",K65="",K65&lt;J65),0,NETWORKDAYS(J65,K65,fESTIVOS!$A$2:$A$53))</f>
        <v>1</v>
      </c>
      <c r="I65" s="146">
        <v>45925</v>
      </c>
      <c r="J65" s="121">
        <v>45925</v>
      </c>
      <c r="K65" s="121">
        <v>45925</v>
      </c>
      <c r="L65" s="121">
        <v>45925</v>
      </c>
      <c r="M65" s="25">
        <f ca="1">IF(OR(J65="",AND(L65="",TODAY()&lt;J65),AND(L65&lt;&gt;"",L65&lt;J65)),0,
   IF(L65="",
      NETWORKDAYS(J65,TODAY(),fESTIVOS!$A$2:$A$53),
      NETWORKDAYS(J65,L65,fESTIVOS!$A$2:$A$53)
   )
)</f>
        <v>1</v>
      </c>
      <c r="N65" s="143"/>
      <c r="O65" s="143"/>
      <c r="P65" s="144"/>
      <c r="Q65" s="122" t="s">
        <v>272</v>
      </c>
      <c r="R65" s="118" t="s">
        <v>38</v>
      </c>
      <c r="S65" s="119"/>
    </row>
    <row r="66" spans="1:19" ht="29.25" customHeight="1">
      <c r="A66" s="106" t="s">
        <v>59</v>
      </c>
      <c r="B66" s="107" t="s">
        <v>273</v>
      </c>
      <c r="C66" s="108" t="s">
        <v>274</v>
      </c>
      <c r="D66" s="109" t="s">
        <v>275</v>
      </c>
      <c r="E66" s="110" t="s">
        <v>143</v>
      </c>
      <c r="F66" s="111" t="s">
        <v>37</v>
      </c>
      <c r="G66" s="112">
        <v>100</v>
      </c>
      <c r="H66" s="70">
        <f>IF(OR(J66="",K66="",K66&lt;J66),0,NETWORKDAYS(J66,K66,fESTIVOS!$A$2:$A$53))</f>
        <v>1</v>
      </c>
      <c r="I66" s="113">
        <v>45931</v>
      </c>
      <c r="J66" s="114">
        <v>45932</v>
      </c>
      <c r="K66" s="114">
        <v>45932</v>
      </c>
      <c r="L66" s="114">
        <v>45932</v>
      </c>
      <c r="M66" s="25">
        <f ca="1">IF(OR(J66="",AND(L66="",TODAY()&lt;J66),AND(L66&lt;&gt;"",L66&lt;J66)),0,
   IF(L66="",
      NETWORKDAYS(J66,TODAY(),fESTIVOS!$A$2:$A$53),
      NETWORKDAYS(J66,L66,fESTIVOS!$A$2:$A$53)
   )
)</f>
        <v>1</v>
      </c>
      <c r="N66" s="115"/>
      <c r="O66" s="115"/>
      <c r="P66" s="116"/>
      <c r="Q66" s="117" t="s">
        <v>276</v>
      </c>
      <c r="R66" s="118" t="s">
        <v>38</v>
      </c>
      <c r="S66" s="119"/>
    </row>
    <row r="67" spans="1:19" ht="29.25" customHeight="1">
      <c r="A67" s="106" t="s">
        <v>59</v>
      </c>
      <c r="B67" s="107" t="s">
        <v>277</v>
      </c>
      <c r="C67" s="108" t="s">
        <v>278</v>
      </c>
      <c r="D67" s="120" t="s">
        <v>279</v>
      </c>
      <c r="E67" s="110" t="s">
        <v>62</v>
      </c>
      <c r="F67" s="111" t="s">
        <v>37</v>
      </c>
      <c r="G67" s="112">
        <v>100</v>
      </c>
      <c r="H67" s="70">
        <f>IF(OR(J67="",K67="",K67&lt;J67),0,NETWORKDAYS(J67,K67,fESTIVOS!$A$2:$A$53))</f>
        <v>0</v>
      </c>
      <c r="I67" s="113">
        <v>45932</v>
      </c>
      <c r="J67" s="114">
        <v>45934</v>
      </c>
      <c r="K67" s="114">
        <v>45934</v>
      </c>
      <c r="L67" s="114">
        <v>45934</v>
      </c>
      <c r="M67" s="25">
        <f ca="1">IF(OR(J67="",AND(L67="",TODAY()&lt;J67),AND(L67&lt;&gt;"",L67&lt;J67)),0,
   IF(L67="",
      NETWORKDAYS(J67,TODAY(),fESTIVOS!$A$2:$A$53),
      NETWORKDAYS(J67,L67,fESTIVOS!$A$2:$A$53)
   )
)</f>
        <v>0</v>
      </c>
      <c r="N67" s="115"/>
      <c r="O67" s="115"/>
      <c r="P67" s="116"/>
      <c r="Q67" s="122" t="s">
        <v>280</v>
      </c>
      <c r="R67" s="118" t="s">
        <v>38</v>
      </c>
      <c r="S67" s="119"/>
    </row>
    <row r="68" spans="1:19" ht="29.25" customHeight="1">
      <c r="A68" s="106" t="s">
        <v>59</v>
      </c>
      <c r="B68" s="107" t="s">
        <v>281</v>
      </c>
      <c r="C68" s="108" t="s">
        <v>282</v>
      </c>
      <c r="D68" s="120" t="s">
        <v>283</v>
      </c>
      <c r="E68" s="110" t="s">
        <v>62</v>
      </c>
      <c r="F68" s="111" t="s">
        <v>37</v>
      </c>
      <c r="G68" s="112">
        <v>100</v>
      </c>
      <c r="H68" s="70">
        <f>IF(OR(J68="",K68="",K68&lt;J68),0,NETWORKDAYS(J68,K68,fESTIVOS!$A$2:$A$53))</f>
        <v>0</v>
      </c>
      <c r="I68" s="113">
        <v>45932</v>
      </c>
      <c r="J68" s="114">
        <v>45934</v>
      </c>
      <c r="K68" s="114">
        <v>45934</v>
      </c>
      <c r="L68" s="114">
        <v>45934</v>
      </c>
      <c r="M68" s="25">
        <f ca="1">IF(OR(J68="",AND(L68="",TODAY()&lt;J68),AND(L68&lt;&gt;"",L68&lt;J68)),0,
   IF(L68="",
      NETWORKDAYS(J68,TODAY(),fESTIVOS!$A$2:$A$53),
      NETWORKDAYS(J68,L68,fESTIVOS!$A$2:$A$53)
   )
)</f>
        <v>0</v>
      </c>
      <c r="N68" s="115"/>
      <c r="O68" s="115"/>
      <c r="P68" s="116"/>
      <c r="Q68" s="122" t="s">
        <v>284</v>
      </c>
      <c r="R68" s="118" t="s">
        <v>38</v>
      </c>
      <c r="S68" s="119"/>
    </row>
    <row r="69" spans="1:19" ht="29.25" customHeight="1">
      <c r="A69" s="10" t="s">
        <v>59</v>
      </c>
      <c r="B69" s="67" t="s">
        <v>285</v>
      </c>
      <c r="C69" s="91" t="s">
        <v>235</v>
      </c>
      <c r="D69" s="109" t="s">
        <v>286</v>
      </c>
      <c r="E69" s="69" t="s">
        <v>126</v>
      </c>
      <c r="F69" s="134" t="s">
        <v>37</v>
      </c>
      <c r="G69" s="135">
        <v>100</v>
      </c>
      <c r="H69" s="70">
        <f>IF(OR(J69="",K69="",K69&lt;J69),0,NETWORKDAYS(J69,K69,fESTIVOS!$A$2:$A$53))</f>
        <v>0</v>
      </c>
      <c r="I69" s="113">
        <v>45932</v>
      </c>
      <c r="J69" s="114">
        <v>45934</v>
      </c>
      <c r="K69" s="114">
        <v>45934</v>
      </c>
      <c r="L69" s="114">
        <v>45934</v>
      </c>
      <c r="M69" s="25">
        <f ca="1">IF(OR(J69="",AND(L69="",TODAY()&lt;J69),AND(L69&lt;&gt;"",L69&lt;J69)),0,
   IF(L69="",
      NETWORKDAYS(J69,TODAY(),fESTIVOS!$A$2:$A$53),
      NETWORKDAYS(J69,L69,fESTIVOS!$A$2:$A$53)
   )
)</f>
        <v>0</v>
      </c>
      <c r="N69" s="115"/>
      <c r="O69" s="115"/>
      <c r="P69" s="116"/>
      <c r="Q69" s="21" t="s">
        <v>287</v>
      </c>
      <c r="R69" s="136" t="s">
        <v>38</v>
      </c>
      <c r="S69" s="132"/>
    </row>
    <row r="70" spans="1:19" ht="29.25" customHeight="1">
      <c r="A70" s="106" t="s">
        <v>59</v>
      </c>
      <c r="B70" s="107" t="s">
        <v>288</v>
      </c>
      <c r="C70" s="108" t="s">
        <v>289</v>
      </c>
      <c r="D70" s="120"/>
      <c r="E70" s="110" t="s">
        <v>62</v>
      </c>
      <c r="F70" s="111" t="s">
        <v>37</v>
      </c>
      <c r="G70" s="112">
        <v>100</v>
      </c>
      <c r="H70" s="70">
        <f>IF(OR(J70="",K70="",K70&lt;J70),0,NETWORKDAYS(J70,K70,fESTIVOS!$A$2:$A$53))</f>
        <v>2</v>
      </c>
      <c r="I70" s="113">
        <v>45936</v>
      </c>
      <c r="J70" s="114">
        <v>45936</v>
      </c>
      <c r="K70" s="114">
        <v>45937</v>
      </c>
      <c r="L70" s="114">
        <v>45937</v>
      </c>
      <c r="M70" s="25">
        <f ca="1">IF(OR(J70="",AND(L70="",TODAY()&lt;J70),AND(L70&lt;&gt;"",L70&lt;J70)),0,
   IF(L70="",
      NETWORKDAYS(J70,TODAY(),fESTIVOS!$A$2:$A$53),
      NETWORKDAYS(J70,L70,fESTIVOS!$A$2:$A$53)
   )
)</f>
        <v>2</v>
      </c>
      <c r="N70" s="115"/>
      <c r="O70" s="115"/>
      <c r="P70" s="116"/>
      <c r="Q70" s="122" t="s">
        <v>290</v>
      </c>
      <c r="R70" s="118" t="s">
        <v>38</v>
      </c>
      <c r="S70" s="119"/>
    </row>
    <row r="71" spans="1:19" ht="29.25" customHeight="1">
      <c r="A71" s="106" t="s">
        <v>59</v>
      </c>
      <c r="B71" s="107" t="s">
        <v>291</v>
      </c>
      <c r="C71" s="108" t="s">
        <v>292</v>
      </c>
      <c r="D71" s="120" t="s">
        <v>293</v>
      </c>
      <c r="E71" s="110" t="s">
        <v>62</v>
      </c>
      <c r="F71" s="111" t="s">
        <v>37</v>
      </c>
      <c r="G71" s="112">
        <v>100</v>
      </c>
      <c r="H71" s="70">
        <f>IF(OR(J71="",K71="",K71&lt;J71),0,NETWORKDAYS(J71,K71,fESTIVOS!$A$2:$A$53))</f>
        <v>2</v>
      </c>
      <c r="I71" s="113">
        <v>45936</v>
      </c>
      <c r="J71" s="114">
        <v>45936</v>
      </c>
      <c r="K71" s="114">
        <v>45937</v>
      </c>
      <c r="L71" s="114">
        <v>45937</v>
      </c>
      <c r="M71" s="25">
        <f ca="1">IF(OR(J71="",AND(L71="",TODAY()&lt;J71),AND(L71&lt;&gt;"",L71&lt;J71)),0,
   IF(L71="",
      NETWORKDAYS(J71,TODAY(),fESTIVOS!$A$2:$A$53),
      NETWORKDAYS(J71,L71,fESTIVOS!$A$2:$A$53)
   )
)</f>
        <v>2</v>
      </c>
      <c r="N71" s="115"/>
      <c r="O71" s="115"/>
      <c r="P71" s="116"/>
      <c r="Q71" s="122" t="s">
        <v>294</v>
      </c>
      <c r="R71" s="118" t="s">
        <v>38</v>
      </c>
      <c r="S71" s="119"/>
    </row>
    <row r="72" spans="1:19" ht="29.25" customHeight="1">
      <c r="A72" s="139" t="s">
        <v>59</v>
      </c>
      <c r="B72" s="124" t="s">
        <v>295</v>
      </c>
      <c r="C72" s="140" t="s">
        <v>296</v>
      </c>
      <c r="D72" s="120" t="s">
        <v>297</v>
      </c>
      <c r="E72" s="110" t="s">
        <v>126</v>
      </c>
      <c r="F72" s="141" t="s">
        <v>37</v>
      </c>
      <c r="G72" s="142">
        <v>100</v>
      </c>
      <c r="H72" s="70">
        <f>IF(OR(J72="",K72="",K72&lt;J72),0,NETWORKDAYS(J72,K72,fESTIVOS!$A$2:$A$53))</f>
        <v>2</v>
      </c>
      <c r="I72" s="113">
        <v>45936</v>
      </c>
      <c r="J72" s="114">
        <v>45936</v>
      </c>
      <c r="K72" s="114">
        <v>45937</v>
      </c>
      <c r="L72" s="114">
        <v>45937</v>
      </c>
      <c r="M72" s="25">
        <f ca="1">IF(OR(J72="",AND(L72="",TODAY()&lt;J72),AND(L72&lt;&gt;"",L72&lt;J72)),0,
   IF(L72="",
      NETWORKDAYS(J72,TODAY(),fESTIVOS!$A$2:$A$53),
      NETWORKDAYS(J72,L72,fESTIVOS!$A$2:$A$53)
   )
)</f>
        <v>2</v>
      </c>
      <c r="N72" s="143"/>
      <c r="O72" s="143"/>
      <c r="P72" s="144"/>
      <c r="Q72" s="122" t="s">
        <v>298</v>
      </c>
      <c r="R72" s="118" t="s">
        <v>38</v>
      </c>
      <c r="S72" s="119"/>
    </row>
    <row r="73" spans="1:19" ht="29.25" customHeight="1">
      <c r="A73" s="148" t="s">
        <v>59</v>
      </c>
      <c r="B73" s="149" t="s">
        <v>299</v>
      </c>
      <c r="C73" s="150" t="s">
        <v>263</v>
      </c>
      <c r="D73" s="145" t="s">
        <v>300</v>
      </c>
      <c r="E73" s="151" t="s">
        <v>126</v>
      </c>
      <c r="F73" s="152" t="s">
        <v>37</v>
      </c>
      <c r="G73" s="135">
        <v>100</v>
      </c>
      <c r="H73" s="70">
        <f>IF(OR(J73="",K73="",K73&lt;J73),0,NETWORKDAYS(J73,K73,fESTIVOS!$A$2:$A$53))</f>
        <v>2</v>
      </c>
      <c r="I73" s="113">
        <v>45936</v>
      </c>
      <c r="J73" s="114">
        <v>45936</v>
      </c>
      <c r="K73" s="114">
        <v>45937</v>
      </c>
      <c r="L73" s="114">
        <v>45937</v>
      </c>
      <c r="M73" s="25">
        <f ca="1">IF(OR(J73="",AND(L73="",TODAY()&lt;J73),AND(L73&lt;&gt;"",L73&lt;J73)),0,
   IF(L73="",
      NETWORKDAYS(J73,TODAY(),fESTIVOS!$A$2:$A$53),
      NETWORKDAYS(J73,L73,fESTIVOS!$A$2:$A$53)
   )
)</f>
        <v>2</v>
      </c>
      <c r="N73" s="115"/>
      <c r="O73" s="115"/>
      <c r="P73" s="116"/>
      <c r="Q73" s="122" t="s">
        <v>301</v>
      </c>
      <c r="R73" s="136" t="s">
        <v>38</v>
      </c>
      <c r="S73" s="153"/>
    </row>
    <row r="74" spans="1:19" ht="29.25" customHeight="1">
      <c r="A74" s="139" t="s">
        <v>59</v>
      </c>
      <c r="B74" s="124" t="s">
        <v>302</v>
      </c>
      <c r="C74" s="140" t="s">
        <v>263</v>
      </c>
      <c r="D74" s="145" t="s">
        <v>303</v>
      </c>
      <c r="E74" s="110" t="s">
        <v>126</v>
      </c>
      <c r="F74" s="141" t="s">
        <v>37</v>
      </c>
      <c r="G74" s="142">
        <v>100</v>
      </c>
      <c r="H74" s="70">
        <f>IF(OR(J74="",K74="",K74&lt;J74),0,NETWORKDAYS(J74,K74,fESTIVOS!$A$2:$A$53))</f>
        <v>2</v>
      </c>
      <c r="I74" s="113">
        <v>45936</v>
      </c>
      <c r="J74" s="114">
        <v>45936</v>
      </c>
      <c r="K74" s="114">
        <v>45937</v>
      </c>
      <c r="L74" s="114">
        <v>45937</v>
      </c>
      <c r="M74" s="25">
        <f ca="1">IF(OR(J74="",AND(L74="",TODAY()&lt;J74),AND(L74&lt;&gt;"",L74&lt;J74)),0,
   IF(L74="",
      NETWORKDAYS(J74,TODAY(),fESTIVOS!$A$2:$A$53),
      NETWORKDAYS(J74,L74,fESTIVOS!$A$2:$A$53)
   )
)</f>
        <v>2</v>
      </c>
      <c r="N74" s="143"/>
      <c r="O74" s="143"/>
      <c r="P74" s="144"/>
      <c r="Q74" s="122" t="s">
        <v>304</v>
      </c>
      <c r="R74" s="118" t="s">
        <v>38</v>
      </c>
      <c r="S74" s="119"/>
    </row>
    <row r="75" spans="1:19" ht="29.25" customHeight="1">
      <c r="A75" s="106" t="s">
        <v>59</v>
      </c>
      <c r="B75" s="107" t="s">
        <v>305</v>
      </c>
      <c r="C75" s="108" t="s">
        <v>306</v>
      </c>
      <c r="D75" s="120" t="s">
        <v>307</v>
      </c>
      <c r="E75" s="110" t="s">
        <v>62</v>
      </c>
      <c r="F75" s="111" t="s">
        <v>37</v>
      </c>
      <c r="G75" s="112">
        <v>100</v>
      </c>
      <c r="H75" s="70">
        <f>IF(OR(J75="",K75="",K75&lt;J75),0,NETWORKDAYS(J75,K75,fESTIVOS!$A$2:$A$53))</f>
        <v>2</v>
      </c>
      <c r="I75" s="113">
        <v>45938</v>
      </c>
      <c r="J75" s="114">
        <v>45938</v>
      </c>
      <c r="K75" s="114">
        <v>45939</v>
      </c>
      <c r="L75" s="114">
        <v>45938</v>
      </c>
      <c r="M75" s="25">
        <f ca="1">IF(OR(J75="",AND(L75="",TODAY()&lt;J75),AND(L75&lt;&gt;"",L75&lt;J75)),0,
   IF(L75="",
      NETWORKDAYS(J75,TODAY(),fESTIVOS!$A$2:$A$53),
      NETWORKDAYS(J75,L75,fESTIVOS!$A$2:$A$53)
   )
)</f>
        <v>1</v>
      </c>
      <c r="N75" s="115"/>
      <c r="O75" s="115"/>
      <c r="P75" s="116"/>
      <c r="Q75" s="122" t="s">
        <v>308</v>
      </c>
      <c r="R75" s="118" t="s">
        <v>38</v>
      </c>
      <c r="S75" s="119"/>
    </row>
    <row r="76" spans="1:19" ht="29.25" customHeight="1">
      <c r="A76" s="106" t="s">
        <v>59</v>
      </c>
      <c r="B76" s="107" t="s">
        <v>309</v>
      </c>
      <c r="C76" s="108" t="s">
        <v>310</v>
      </c>
      <c r="D76" s="120" t="s">
        <v>311</v>
      </c>
      <c r="E76" s="110" t="s">
        <v>62</v>
      </c>
      <c r="F76" s="111" t="s">
        <v>37</v>
      </c>
      <c r="G76" s="112">
        <v>100</v>
      </c>
      <c r="H76" s="70">
        <f>IF(OR(J76="",K76="",K76&lt;J76),0,NETWORKDAYS(J76,K76,fESTIVOS!$A$2:$A$53))</f>
        <v>2</v>
      </c>
      <c r="I76" s="113">
        <v>45939</v>
      </c>
      <c r="J76" s="114">
        <v>45939</v>
      </c>
      <c r="K76" s="114">
        <v>45940</v>
      </c>
      <c r="L76" s="114">
        <v>45939</v>
      </c>
      <c r="M76" s="25">
        <f ca="1">IF(OR(J76="",AND(L76="",TODAY()&lt;J76),AND(L76&lt;&gt;"",L76&lt;J76)),0,
   IF(L76="",
      NETWORKDAYS(J76,TODAY(),fESTIVOS!$A$2:$A$53),
      NETWORKDAYS(J76,L76,fESTIVOS!$A$2:$A$53)
   )
)</f>
        <v>1</v>
      </c>
      <c r="N76" s="115"/>
      <c r="O76" s="115"/>
      <c r="P76" s="116"/>
      <c r="Q76" s="122" t="s">
        <v>312</v>
      </c>
      <c r="R76" s="118" t="s">
        <v>38</v>
      </c>
      <c r="S76" s="119"/>
    </row>
    <row r="77" spans="1:19" ht="29.25" customHeight="1">
      <c r="A77" s="139" t="s">
        <v>59</v>
      </c>
      <c r="B77" s="124" t="s">
        <v>313</v>
      </c>
      <c r="C77" s="140" t="s">
        <v>314</v>
      </c>
      <c r="D77" s="145" t="s">
        <v>315</v>
      </c>
      <c r="E77" s="110" t="s">
        <v>126</v>
      </c>
      <c r="F77" s="154" t="s">
        <v>37</v>
      </c>
      <c r="G77" s="155">
        <v>100</v>
      </c>
      <c r="H77" s="70">
        <f>IF(OR(J77="",K77="",K77&lt;J77),0,NETWORKDAYS(J77,K77,fESTIVOS!$A$2:$A$53))</f>
        <v>1</v>
      </c>
      <c r="I77" s="146">
        <v>45940</v>
      </c>
      <c r="J77" s="121">
        <v>45940</v>
      </c>
      <c r="K77" s="121">
        <v>45940</v>
      </c>
      <c r="L77" s="121">
        <v>45940</v>
      </c>
      <c r="M77" s="25">
        <f ca="1">IF(OR(J77="",AND(L77="",TODAY()&lt;J77),AND(L77&lt;&gt;"",L77&lt;J77)),0,
   IF(L77="",
      NETWORKDAYS(J77,TODAY(),fESTIVOS!$A$2:$A$53),
      NETWORKDAYS(J77,L77,fESTIVOS!$A$2:$A$53)
   )
)</f>
        <v>1</v>
      </c>
      <c r="N77" s="143"/>
      <c r="O77" s="143"/>
      <c r="P77" s="144"/>
      <c r="Q77" s="122" t="s">
        <v>316</v>
      </c>
      <c r="R77" s="118" t="s">
        <v>38</v>
      </c>
      <c r="S77" s="119"/>
    </row>
    <row r="78" spans="1:19" ht="29.25" customHeight="1">
      <c r="A78" s="139" t="s">
        <v>59</v>
      </c>
      <c r="B78" s="124" t="s">
        <v>317</v>
      </c>
      <c r="C78" s="140" t="s">
        <v>318</v>
      </c>
      <c r="D78" s="156" t="s">
        <v>319</v>
      </c>
      <c r="E78" s="110" t="s">
        <v>143</v>
      </c>
      <c r="F78" s="154" t="s">
        <v>37</v>
      </c>
      <c r="G78" s="155">
        <v>100</v>
      </c>
      <c r="H78" s="70">
        <f>IF(OR(J78="",K78="",K78&lt;J78),0,NETWORKDAYS(J78,K78,fESTIVOS!$A$2:$A$53))</f>
        <v>1</v>
      </c>
      <c r="I78" s="146">
        <v>45937</v>
      </c>
      <c r="J78" s="121">
        <v>45940</v>
      </c>
      <c r="K78" s="121">
        <v>45940</v>
      </c>
      <c r="L78" s="121">
        <v>45940</v>
      </c>
      <c r="M78" s="25">
        <f ca="1">IF(OR(J78="",AND(L78="",TODAY()&lt;J78),AND(L78&lt;&gt;"",L78&lt;J78)),0,
   IF(L78="",
      NETWORKDAYS(J78,TODAY(),fESTIVOS!$A$2:$A$53),
      NETWORKDAYS(J78,L78,fESTIVOS!$A$2:$A$53)
   )
)</f>
        <v>1</v>
      </c>
      <c r="N78" s="143"/>
      <c r="O78" s="143"/>
      <c r="P78" s="144"/>
      <c r="Q78" s="122" t="s">
        <v>320</v>
      </c>
      <c r="R78" s="118" t="s">
        <v>38</v>
      </c>
      <c r="S78" s="119"/>
    </row>
    <row r="79" spans="1:19" ht="29.25" customHeight="1">
      <c r="A79" s="148" t="s">
        <v>59</v>
      </c>
      <c r="B79" s="149" t="s">
        <v>321</v>
      </c>
      <c r="C79" s="150" t="s">
        <v>322</v>
      </c>
      <c r="D79" s="157" t="s">
        <v>323</v>
      </c>
      <c r="E79" s="133" t="s">
        <v>62</v>
      </c>
      <c r="F79" s="137" t="s">
        <v>37</v>
      </c>
      <c r="G79" s="155">
        <v>100</v>
      </c>
      <c r="H79" s="70">
        <f>IF(OR(J79="",K79="",K79&lt;J79),0,NETWORKDAYS(J79,K79,fESTIVOS!$A$2:$A$53))</f>
        <v>1</v>
      </c>
      <c r="I79" s="158">
        <v>45944</v>
      </c>
      <c r="J79" s="159">
        <v>45944</v>
      </c>
      <c r="K79" s="159">
        <v>45944</v>
      </c>
      <c r="L79" s="159">
        <v>45944</v>
      </c>
      <c r="M79" s="25">
        <f ca="1">IF(OR(J79="",AND(L79="",TODAY()&lt;J79),AND(L79&lt;&gt;"",L79&lt;J79)),0,
   IF(L79="",
      NETWORKDAYS(J79,TODAY(),fESTIVOS!$A$2:$A$53),
      NETWORKDAYS(J79,L79,fESTIVOS!$A$2:$A$53)
   )
)</f>
        <v>1</v>
      </c>
      <c r="N79" s="115"/>
      <c r="O79" s="115"/>
      <c r="P79" s="116"/>
      <c r="Q79" s="160" t="s">
        <v>324</v>
      </c>
      <c r="R79" s="136" t="s">
        <v>38</v>
      </c>
      <c r="S79" s="132"/>
    </row>
    <row r="80" spans="1:19" ht="29.25" customHeight="1">
      <c r="A80" s="139" t="s">
        <v>59</v>
      </c>
      <c r="B80" s="124" t="s">
        <v>325</v>
      </c>
      <c r="C80" s="161" t="s">
        <v>263</v>
      </c>
      <c r="D80" s="145" t="s">
        <v>326</v>
      </c>
      <c r="E80" s="127" t="s">
        <v>126</v>
      </c>
      <c r="F80" s="154" t="s">
        <v>37</v>
      </c>
      <c r="G80" s="155">
        <v>100</v>
      </c>
      <c r="H80" s="70">
        <f>IF(OR(J80="",K80="",K80&lt;J80),0,NETWORKDAYS(J80,K80,fESTIVOS!$A$2:$A$53))</f>
        <v>1</v>
      </c>
      <c r="I80" s="158">
        <v>45944</v>
      </c>
      <c r="J80" s="159">
        <v>45944</v>
      </c>
      <c r="K80" s="159">
        <v>45944</v>
      </c>
      <c r="L80" s="159">
        <v>45944</v>
      </c>
      <c r="M80" s="25">
        <f ca="1">IF(OR(J80="",AND(L80="",TODAY()&lt;J80),AND(L80&lt;&gt;"",L80&lt;J80)),0,
   IF(L80="",
      NETWORKDAYS(J80,TODAY(),fESTIVOS!$A$2:$A$53),
      NETWORKDAYS(J80,L80,fESTIVOS!$A$2:$A$53)
   )
)</f>
        <v>1</v>
      </c>
      <c r="N80" s="143"/>
      <c r="O80" s="143"/>
      <c r="P80" s="144"/>
      <c r="Q80" s="160" t="s">
        <v>327</v>
      </c>
      <c r="R80" s="118" t="s">
        <v>38</v>
      </c>
      <c r="S80" s="162"/>
    </row>
    <row r="81" spans="1:19" ht="29.25" customHeight="1">
      <c r="A81" s="139" t="s">
        <v>59</v>
      </c>
      <c r="B81" s="124" t="s">
        <v>328</v>
      </c>
      <c r="C81" s="150" t="s">
        <v>329</v>
      </c>
      <c r="D81" s="145" t="s">
        <v>330</v>
      </c>
      <c r="E81" s="127" t="s">
        <v>62</v>
      </c>
      <c r="F81" s="154" t="s">
        <v>37</v>
      </c>
      <c r="G81" s="155">
        <v>100</v>
      </c>
      <c r="H81" s="70">
        <f>IF(OR(J81="",K81="",K81&lt;J81),0,NETWORKDAYS(J81,K81,fESTIVOS!$A$2:$A$53))</f>
        <v>1</v>
      </c>
      <c r="I81" s="158">
        <v>45944</v>
      </c>
      <c r="J81" s="159">
        <v>45944</v>
      </c>
      <c r="K81" s="159">
        <v>45944</v>
      </c>
      <c r="L81" s="159">
        <v>45944</v>
      </c>
      <c r="M81" s="25">
        <f ca="1">IF(OR(J81="",AND(L81="",TODAY()&lt;J81),AND(L81&lt;&gt;"",L81&lt;J81)),0,
   IF(L81="",
      NETWORKDAYS(J81,TODAY(),fESTIVOS!$A$2:$A$53),
      NETWORKDAYS(J81,L81,fESTIVOS!$A$2:$A$53)
   )
)</f>
        <v>1</v>
      </c>
      <c r="N81" s="143"/>
      <c r="O81" s="143"/>
      <c r="P81" s="144"/>
      <c r="Q81" s="160" t="s">
        <v>331</v>
      </c>
      <c r="R81" s="118" t="s">
        <v>38</v>
      </c>
      <c r="S81" s="162"/>
    </row>
    <row r="82" spans="1:19" ht="29.25" customHeight="1">
      <c r="A82" s="139" t="s">
        <v>59</v>
      </c>
      <c r="B82" s="124" t="s">
        <v>332</v>
      </c>
      <c r="C82" s="150" t="s">
        <v>333</v>
      </c>
      <c r="D82" s="145" t="s">
        <v>334</v>
      </c>
      <c r="E82" s="127" t="s">
        <v>62</v>
      </c>
      <c r="F82" s="154" t="s">
        <v>37</v>
      </c>
      <c r="G82" s="155">
        <v>100</v>
      </c>
      <c r="H82" s="70">
        <f>IF(OR(J82="",K82="",K82&lt;J82),0,NETWORKDAYS(J82,K82,fESTIVOS!$A$2:$A$53))</f>
        <v>1</v>
      </c>
      <c r="I82" s="158">
        <v>45945</v>
      </c>
      <c r="J82" s="159">
        <v>45945</v>
      </c>
      <c r="K82" s="159">
        <v>45945</v>
      </c>
      <c r="L82" s="159">
        <v>45945</v>
      </c>
      <c r="M82" s="25">
        <f ca="1">IF(OR(J82="",AND(L82="",TODAY()&lt;J82),AND(L82&lt;&gt;"",L82&lt;J82)),0,
   IF(L82="",
      NETWORKDAYS(J82,TODAY(),fESTIVOS!$A$2:$A$53),
      NETWORKDAYS(J82,L82,fESTIVOS!$A$2:$A$53)
   )
)</f>
        <v>1</v>
      </c>
      <c r="N82" s="143"/>
      <c r="O82" s="143"/>
      <c r="P82" s="144"/>
      <c r="Q82" s="160" t="s">
        <v>335</v>
      </c>
      <c r="R82" s="118" t="s">
        <v>38</v>
      </c>
      <c r="S82" s="162"/>
    </row>
    <row r="83" spans="1:19" ht="29.25" customHeight="1">
      <c r="A83" s="139" t="s">
        <v>59</v>
      </c>
      <c r="B83" s="124" t="s">
        <v>336</v>
      </c>
      <c r="C83" s="150" t="s">
        <v>337</v>
      </c>
      <c r="D83" s="145" t="s">
        <v>338</v>
      </c>
      <c r="E83" s="127" t="s">
        <v>62</v>
      </c>
      <c r="F83" s="163" t="s">
        <v>37</v>
      </c>
      <c r="G83" s="142">
        <v>100</v>
      </c>
      <c r="H83" s="70">
        <f>IF(OR(J83="",K83="",K83&lt;J83),0,NETWORKDAYS(J83,K83,fESTIVOS!$A$2:$A$53))</f>
        <v>3</v>
      </c>
      <c r="I83" s="158">
        <v>45946</v>
      </c>
      <c r="J83" s="159">
        <v>45946</v>
      </c>
      <c r="K83" s="159">
        <v>45950</v>
      </c>
      <c r="L83" s="159">
        <v>45947</v>
      </c>
      <c r="M83" s="25">
        <f ca="1">IF(OR(J83="",AND(L83="",TODAY()&lt;J83),AND(L83&lt;&gt;"",L83&lt;J83)),0,
   IF(L83="",
      NETWORKDAYS(J83,TODAY(),fESTIVOS!$A$2:$A$53),
      NETWORKDAYS(J83,L83,fESTIVOS!$A$2:$A$53)
   )
)</f>
        <v>2</v>
      </c>
      <c r="N83" s="143"/>
      <c r="O83" s="143"/>
      <c r="P83" s="144"/>
      <c r="Q83" s="160" t="s">
        <v>339</v>
      </c>
      <c r="R83" s="118" t="s">
        <v>38</v>
      </c>
      <c r="S83" s="162"/>
    </row>
    <row r="84" spans="1:19" ht="29.25" customHeight="1">
      <c r="A84" s="139" t="s">
        <v>59</v>
      </c>
      <c r="B84" s="124" t="s">
        <v>340</v>
      </c>
      <c r="C84" s="150" t="s">
        <v>341</v>
      </c>
      <c r="D84" s="145" t="s">
        <v>342</v>
      </c>
      <c r="E84" s="127" t="s">
        <v>62</v>
      </c>
      <c r="F84" s="163" t="s">
        <v>37</v>
      </c>
      <c r="G84" s="142">
        <v>100</v>
      </c>
      <c r="H84" s="70">
        <f>IF(OR(J84="",K84="",K84&lt;J84),0,NETWORKDAYS(J84,K84,fESTIVOS!$A$2:$A$53))</f>
        <v>2</v>
      </c>
      <c r="I84" s="158">
        <v>45946</v>
      </c>
      <c r="J84" s="159">
        <v>45946</v>
      </c>
      <c r="K84" s="159">
        <v>45947</v>
      </c>
      <c r="L84" s="159">
        <v>45946</v>
      </c>
      <c r="M84" s="25">
        <f ca="1">IF(OR(J84="",AND(L84="",TODAY()&lt;J84),AND(L84&lt;&gt;"",L84&lt;J84)),0,
   IF(L84="",
      NETWORKDAYS(J84,TODAY(),fESTIVOS!$A$2:$A$53),
      NETWORKDAYS(J84,L84,fESTIVOS!$A$2:$A$53)
   )
)</f>
        <v>1</v>
      </c>
      <c r="N84" s="143"/>
      <c r="O84" s="143"/>
      <c r="P84" s="144"/>
      <c r="Q84" s="160" t="s">
        <v>343</v>
      </c>
      <c r="R84" s="118" t="s">
        <v>38</v>
      </c>
      <c r="S84" s="162"/>
    </row>
    <row r="85" spans="1:19" ht="29.25" customHeight="1">
      <c r="A85" s="139" t="s">
        <v>59</v>
      </c>
      <c r="B85" s="124" t="s">
        <v>344</v>
      </c>
      <c r="C85" s="150" t="s">
        <v>345</v>
      </c>
      <c r="D85" s="145" t="s">
        <v>346</v>
      </c>
      <c r="E85" s="127" t="s">
        <v>62</v>
      </c>
      <c r="F85" s="163" t="s">
        <v>37</v>
      </c>
      <c r="G85" s="142">
        <v>100</v>
      </c>
      <c r="H85" s="70">
        <f>IF(OR(J85="",K85="",K85&lt;J85),0,NETWORKDAYS(J85,K85,fESTIVOS!$A$2:$A$53))</f>
        <v>3</v>
      </c>
      <c r="I85" s="158">
        <v>45947</v>
      </c>
      <c r="J85" s="159">
        <v>45950</v>
      </c>
      <c r="K85" s="159">
        <v>45952</v>
      </c>
      <c r="L85" s="159">
        <v>45951</v>
      </c>
      <c r="M85" s="25">
        <f ca="1">IF(OR(J85="",AND(L85="",TODAY()&lt;J85),AND(L85&lt;&gt;"",L85&lt;J85)),0,
   IF(L85="",
      NETWORKDAYS(J85,TODAY(),fESTIVOS!$A$2:$A$53),
      NETWORKDAYS(J85,L85,fESTIVOS!$A$2:$A$53)
   )
)</f>
        <v>2</v>
      </c>
      <c r="N85" s="143"/>
      <c r="O85" s="143"/>
      <c r="P85" s="144"/>
      <c r="Q85" s="160" t="s">
        <v>347</v>
      </c>
      <c r="R85" s="118" t="s">
        <v>38</v>
      </c>
      <c r="S85" s="162"/>
    </row>
    <row r="86" spans="1:19" ht="29.25" customHeight="1">
      <c r="A86" s="148" t="s">
        <v>59</v>
      </c>
      <c r="B86" s="149" t="s">
        <v>348</v>
      </c>
      <c r="C86" s="164" t="s">
        <v>341</v>
      </c>
      <c r="D86" s="165" t="s">
        <v>342</v>
      </c>
      <c r="E86" s="133" t="s">
        <v>62</v>
      </c>
      <c r="F86" s="137" t="s">
        <v>37</v>
      </c>
      <c r="G86" s="138">
        <v>100</v>
      </c>
      <c r="H86" s="70">
        <f>IF(OR(J86="",K86="",K86&lt;J86),0,NETWORKDAYS(J86,K86,fESTIVOS!$A$2:$A$53))</f>
        <v>2</v>
      </c>
      <c r="I86" s="166">
        <v>45946</v>
      </c>
      <c r="J86" s="167">
        <v>45946</v>
      </c>
      <c r="K86" s="167">
        <v>45947</v>
      </c>
      <c r="L86" s="167">
        <v>45946</v>
      </c>
      <c r="M86" s="25">
        <f ca="1">IF(OR(J86="",AND(L86="",TODAY()&lt;J86),AND(L86&lt;&gt;"",L86&lt;J86)),0,
   IF(L86="",
      NETWORKDAYS(J86,TODAY(),fESTIVOS!$A$2:$A$53),
      NETWORKDAYS(J86,L86,fESTIVOS!$A$2:$A$53)
   )
)</f>
        <v>1</v>
      </c>
      <c r="N86" s="115"/>
      <c r="O86" s="115"/>
      <c r="P86" s="116"/>
      <c r="Q86" s="168" t="s">
        <v>343</v>
      </c>
      <c r="R86" s="136" t="s">
        <v>38</v>
      </c>
      <c r="S86" s="132"/>
    </row>
    <row r="87" spans="1:19" ht="29.25" customHeight="1">
      <c r="A87" s="106" t="s">
        <v>59</v>
      </c>
      <c r="B87" s="107" t="s">
        <v>349</v>
      </c>
      <c r="C87" s="108" t="s">
        <v>306</v>
      </c>
      <c r="D87" s="120" t="s">
        <v>350</v>
      </c>
      <c r="E87" s="110" t="s">
        <v>62</v>
      </c>
      <c r="F87" s="111" t="s">
        <v>37</v>
      </c>
      <c r="G87" s="112">
        <v>100</v>
      </c>
      <c r="H87" s="70">
        <f>IF(OR(J87="",K87="",K87&lt;J87),0,NETWORKDAYS(J87,K87,fESTIVOS!$A$2:$A$53))</f>
        <v>2</v>
      </c>
      <c r="I87" s="113">
        <v>45951</v>
      </c>
      <c r="J87" s="114">
        <v>45952</v>
      </c>
      <c r="K87" s="114">
        <v>45953</v>
      </c>
      <c r="L87" s="114">
        <v>45952</v>
      </c>
      <c r="M87" s="25">
        <f ca="1">IF(OR(J87="",AND(L87="",TODAY()&lt;J87),AND(L87&lt;&gt;"",L87&lt;J87)),0,
   IF(L87="",
      NETWORKDAYS(J87,TODAY(),fESTIVOS!$A$2:$A$53),
      NETWORKDAYS(J87,L87,fESTIVOS!$A$2:$A$53)
   )
)</f>
        <v>1</v>
      </c>
      <c r="N87" s="115"/>
      <c r="O87" s="115"/>
      <c r="P87" s="116"/>
      <c r="Q87" s="122" t="s">
        <v>351</v>
      </c>
      <c r="R87" s="118" t="s">
        <v>38</v>
      </c>
      <c r="S87" s="119"/>
    </row>
    <row r="88" spans="1:19" ht="29.25" customHeight="1">
      <c r="A88" s="106" t="s">
        <v>59</v>
      </c>
      <c r="B88" s="107" t="s">
        <v>352</v>
      </c>
      <c r="C88" s="108" t="s">
        <v>306</v>
      </c>
      <c r="D88" s="120" t="s">
        <v>353</v>
      </c>
      <c r="E88" s="110" t="s">
        <v>62</v>
      </c>
      <c r="F88" s="111" t="s">
        <v>37</v>
      </c>
      <c r="G88" s="112">
        <v>100</v>
      </c>
      <c r="H88" s="70">
        <f>IF(OR(J88="",K88="",K88&lt;J88),0,NETWORKDAYS(J88,K88,fESTIVOS!$A$2:$A$53))</f>
        <v>2</v>
      </c>
      <c r="I88" s="113">
        <v>45951</v>
      </c>
      <c r="J88" s="114">
        <v>45952</v>
      </c>
      <c r="K88" s="114">
        <v>45953</v>
      </c>
      <c r="L88" s="114">
        <v>45953</v>
      </c>
      <c r="M88" s="25">
        <f ca="1">IF(OR(J88="",AND(L88="",TODAY()&lt;J88),AND(L88&lt;&gt;"",L88&lt;J88)),0,
   IF(L88="",
      NETWORKDAYS(J88,TODAY(),fESTIVOS!$A$2:$A$53),
      NETWORKDAYS(J88,L88,fESTIVOS!$A$2:$A$53)
   )
)</f>
        <v>2</v>
      </c>
      <c r="N88" s="115"/>
      <c r="O88" s="115"/>
      <c r="P88" s="116"/>
      <c r="Q88" s="122" t="s">
        <v>354</v>
      </c>
      <c r="R88" s="118" t="s">
        <v>38</v>
      </c>
      <c r="S88" s="119"/>
    </row>
    <row r="89" spans="1:19" ht="29.25" customHeight="1">
      <c r="A89" s="106" t="s">
        <v>59</v>
      </c>
      <c r="B89" s="107" t="s">
        <v>355</v>
      </c>
      <c r="C89" s="108" t="s">
        <v>356</v>
      </c>
      <c r="D89" s="120" t="s">
        <v>357</v>
      </c>
      <c r="E89" s="110" t="s">
        <v>62</v>
      </c>
      <c r="F89" s="111" t="s">
        <v>37</v>
      </c>
      <c r="G89" s="112">
        <v>100</v>
      </c>
      <c r="H89" s="70">
        <f>IF(OR(J89="",K89="",K89&lt;J89),0,NETWORKDAYS(J89,K89,fESTIVOS!$A$2:$A$53))</f>
        <v>14</v>
      </c>
      <c r="I89" s="113">
        <v>45957</v>
      </c>
      <c r="J89" s="114">
        <v>45957</v>
      </c>
      <c r="K89" s="114">
        <v>45976</v>
      </c>
      <c r="L89" s="114">
        <v>45986</v>
      </c>
      <c r="M89" s="25">
        <f ca="1">IF(OR(J89="",AND(L89="",TODAY()&lt;J89),AND(L89&lt;&gt;"",L89&lt;J89)),0,
   IF(L89="",
      NETWORKDAYS(J89,TODAY(),fESTIVOS!$A$2:$A$53),
      NETWORKDAYS(J89,L89,fESTIVOS!$A$2:$A$53)
   )
)</f>
        <v>20</v>
      </c>
      <c r="N89" s="115"/>
      <c r="O89" s="115"/>
      <c r="P89" s="116"/>
      <c r="Q89" s="122" t="s">
        <v>358</v>
      </c>
      <c r="R89" s="118" t="s">
        <v>38</v>
      </c>
      <c r="S89" s="119"/>
    </row>
    <row r="90" spans="1:19" ht="29.25" customHeight="1">
      <c r="A90" s="139" t="s">
        <v>59</v>
      </c>
      <c r="B90" s="124" t="s">
        <v>359</v>
      </c>
      <c r="C90" s="140" t="s">
        <v>270</v>
      </c>
      <c r="D90" s="145" t="s">
        <v>360</v>
      </c>
      <c r="E90" s="124" t="s">
        <v>361</v>
      </c>
      <c r="F90" s="141" t="s">
        <v>37</v>
      </c>
      <c r="G90" s="142">
        <v>100</v>
      </c>
      <c r="H90" s="70">
        <f>IF(OR(J90="",K90="",K90&lt;J90),0,NETWORKDAYS(J90,K90,fESTIVOS!$A$2:$A$53))</f>
        <v>3</v>
      </c>
      <c r="I90" s="146">
        <v>45957</v>
      </c>
      <c r="J90" s="114">
        <v>45957</v>
      </c>
      <c r="K90" s="121">
        <v>45959</v>
      </c>
      <c r="L90" s="121">
        <v>45958</v>
      </c>
      <c r="M90" s="25">
        <f ca="1">IF(OR(J90="",AND(L90="",TODAY()&lt;J90),AND(L90&lt;&gt;"",L90&lt;J90)),0,
   IF(L90="",
      NETWORKDAYS(J90,TODAY(),fESTIVOS!$A$2:$A$53),
      NETWORKDAYS(J90,L90,fESTIVOS!$A$2:$A$53)
   )
)</f>
        <v>2</v>
      </c>
      <c r="N90" s="143"/>
      <c r="O90" s="143"/>
      <c r="P90" s="144"/>
      <c r="Q90" s="122" t="s">
        <v>362</v>
      </c>
      <c r="R90" s="118" t="s">
        <v>38</v>
      </c>
      <c r="S90" s="119"/>
    </row>
    <row r="91" spans="1:19" ht="29.25" customHeight="1">
      <c r="A91" s="139" t="s">
        <v>59</v>
      </c>
      <c r="B91" s="124" t="s">
        <v>363</v>
      </c>
      <c r="C91" s="140" t="s">
        <v>270</v>
      </c>
      <c r="D91" s="145"/>
      <c r="E91" s="124" t="s">
        <v>80</v>
      </c>
      <c r="F91" s="141" t="s">
        <v>37</v>
      </c>
      <c r="G91" s="142">
        <v>100</v>
      </c>
      <c r="H91" s="70">
        <f>IF(OR(J91="",K91="",K91&lt;J91),0,NETWORKDAYS(J91,K91,fESTIVOS!$A$2:$A$53))</f>
        <v>1</v>
      </c>
      <c r="I91" s="146">
        <v>45961</v>
      </c>
      <c r="J91" s="121">
        <v>45961</v>
      </c>
      <c r="K91" s="121">
        <v>45961</v>
      </c>
      <c r="L91" s="121">
        <v>45961</v>
      </c>
      <c r="M91" s="25">
        <f ca="1">IF(OR(J91="",AND(L91="",TODAY()&lt;J91),AND(L91&lt;&gt;"",L91&lt;J91)),0,
   IF(L91="",
      NETWORKDAYS(J91,TODAY(),fESTIVOS!$A$2:$A$53),
      NETWORKDAYS(J91,L91,fESTIVOS!$A$2:$A$53)
   )
)</f>
        <v>1</v>
      </c>
      <c r="N91" s="143"/>
      <c r="O91" s="143"/>
      <c r="P91" s="144"/>
      <c r="Q91" s="122" t="s">
        <v>364</v>
      </c>
      <c r="R91" s="118" t="s">
        <v>38</v>
      </c>
      <c r="S91" s="119"/>
    </row>
    <row r="92" spans="1:19" ht="29.25" customHeight="1">
      <c r="A92" s="139" t="s">
        <v>59</v>
      </c>
      <c r="B92" s="124" t="s">
        <v>365</v>
      </c>
      <c r="C92" s="140" t="s">
        <v>366</v>
      </c>
      <c r="D92" s="156"/>
      <c r="E92" s="110" t="s">
        <v>143</v>
      </c>
      <c r="F92" s="154" t="s">
        <v>37</v>
      </c>
      <c r="G92" s="155">
        <v>100</v>
      </c>
      <c r="H92" s="70">
        <f>IF(OR(J92="",K92="",K92&lt;J92),0,NETWORKDAYS(J92,K92,fESTIVOS!$A$2:$A$53))</f>
        <v>2</v>
      </c>
      <c r="I92" s="146">
        <v>45961</v>
      </c>
      <c r="J92" s="121">
        <v>45965</v>
      </c>
      <c r="K92" s="121">
        <v>45966</v>
      </c>
      <c r="L92" s="121">
        <v>45965</v>
      </c>
      <c r="M92" s="25">
        <f ca="1">IF(OR(J92="",AND(L92="",TODAY()&lt;J92),AND(L92&lt;&gt;"",L92&lt;J92)),0,
   IF(L92="",
      NETWORKDAYS(J92,TODAY(),fESTIVOS!$A$2:$A$53),
      NETWORKDAYS(J92,L92,fESTIVOS!$A$2:$A$53)
   )
)</f>
        <v>1</v>
      </c>
      <c r="N92" s="143"/>
      <c r="O92" s="143"/>
      <c r="P92" s="144"/>
      <c r="Q92" s="122" t="s">
        <v>367</v>
      </c>
      <c r="R92" s="118" t="s">
        <v>38</v>
      </c>
      <c r="S92" s="119"/>
    </row>
    <row r="93" spans="1:19" ht="29.25" customHeight="1">
      <c r="A93" s="139" t="s">
        <v>59</v>
      </c>
      <c r="B93" s="124" t="s">
        <v>368</v>
      </c>
      <c r="C93" s="140" t="s">
        <v>369</v>
      </c>
      <c r="D93" s="145"/>
      <c r="E93" s="127" t="s">
        <v>126</v>
      </c>
      <c r="F93" s="154" t="s">
        <v>37</v>
      </c>
      <c r="G93" s="155">
        <v>100</v>
      </c>
      <c r="H93" s="70">
        <f>IF(OR(J93="",K93="",K93&lt;J93),0,NETWORKDAYS(J93,K93,fESTIVOS!$A$2:$A$53))</f>
        <v>1</v>
      </c>
      <c r="I93" s="158">
        <v>45965</v>
      </c>
      <c r="J93" s="159">
        <v>45966</v>
      </c>
      <c r="K93" s="159">
        <v>45966</v>
      </c>
      <c r="L93" s="159">
        <v>45966</v>
      </c>
      <c r="M93" s="25">
        <f ca="1">IF(OR(J93="",AND(L93="",TODAY()&lt;J93),AND(L93&lt;&gt;"",L93&lt;J93)),0,
   IF(L93="",
      NETWORKDAYS(J93,TODAY(),fESTIVOS!$A$2:$A$53),
      NETWORKDAYS(J93,L93,fESTIVOS!$A$2:$A$53)
   )
)</f>
        <v>1</v>
      </c>
      <c r="N93" s="143"/>
      <c r="O93" s="143"/>
      <c r="P93" s="144"/>
      <c r="Q93" s="122" t="s">
        <v>370</v>
      </c>
      <c r="R93" s="118" t="s">
        <v>38</v>
      </c>
      <c r="S93" s="162"/>
    </row>
    <row r="94" spans="1:19" ht="29.25" customHeight="1">
      <c r="A94" s="139" t="s">
        <v>59</v>
      </c>
      <c r="B94" s="124" t="s">
        <v>371</v>
      </c>
      <c r="C94" s="140" t="s">
        <v>369</v>
      </c>
      <c r="D94" s="145"/>
      <c r="E94" s="127" t="s">
        <v>126</v>
      </c>
      <c r="F94" s="154" t="s">
        <v>37</v>
      </c>
      <c r="G94" s="155">
        <v>100</v>
      </c>
      <c r="H94" s="70">
        <f>IF(OR(J94="",K94="",K94&lt;J94),0,NETWORKDAYS(J94,K94,fESTIVOS!$A$2:$A$53))</f>
        <v>1</v>
      </c>
      <c r="I94" s="158">
        <v>45967</v>
      </c>
      <c r="J94" s="159">
        <v>45967</v>
      </c>
      <c r="K94" s="159">
        <v>45967</v>
      </c>
      <c r="L94" s="159">
        <v>45967</v>
      </c>
      <c r="M94" s="25">
        <f ca="1">IF(OR(J94="",AND(L94="",TODAY()&lt;J94),AND(L94&lt;&gt;"",L94&lt;J94)),0,
   IF(L94="",
      NETWORKDAYS(J94,TODAY(),fESTIVOS!$A$2:$A$53),
      NETWORKDAYS(J94,L94,fESTIVOS!$A$2:$A$53)
   )
)</f>
        <v>1</v>
      </c>
      <c r="N94" s="143"/>
      <c r="O94" s="143"/>
      <c r="P94" s="144"/>
      <c r="Q94" s="122" t="s">
        <v>372</v>
      </c>
      <c r="R94" s="118" t="s">
        <v>38</v>
      </c>
      <c r="S94" s="162"/>
    </row>
    <row r="95" spans="1:19" ht="29.25" customHeight="1">
      <c r="A95" s="139" t="s">
        <v>59</v>
      </c>
      <c r="B95" s="124" t="s">
        <v>373</v>
      </c>
      <c r="C95" s="140" t="s">
        <v>374</v>
      </c>
      <c r="D95" s="145"/>
      <c r="E95" s="127" t="s">
        <v>126</v>
      </c>
      <c r="F95" s="154" t="s">
        <v>37</v>
      </c>
      <c r="G95" s="155">
        <v>100</v>
      </c>
      <c r="H95" s="70">
        <f>IF(OR(J95="",K95="",K95&lt;J95),0,NETWORKDAYS(J95,K95,fESTIVOS!$A$2:$A$53))</f>
        <v>1</v>
      </c>
      <c r="I95" s="158">
        <v>45967</v>
      </c>
      <c r="J95" s="159">
        <v>45967</v>
      </c>
      <c r="K95" s="159">
        <v>45967</v>
      </c>
      <c r="L95" s="159">
        <v>45967</v>
      </c>
      <c r="M95" s="25">
        <f ca="1">IF(OR(J95="",AND(L95="",TODAY()&lt;J95),AND(L95&lt;&gt;"",L95&lt;J95)),0,
   IF(L95="",
      NETWORKDAYS(J95,TODAY(),fESTIVOS!$A$2:$A$53),
      NETWORKDAYS(J95,L95,fESTIVOS!$A$2:$A$53)
   )
)</f>
        <v>1</v>
      </c>
      <c r="N95" s="143"/>
      <c r="O95" s="143"/>
      <c r="P95" s="144"/>
      <c r="Q95" s="122" t="s">
        <v>375</v>
      </c>
      <c r="R95" s="118" t="s">
        <v>38</v>
      </c>
      <c r="S95" s="162"/>
    </row>
    <row r="96" spans="1:19" ht="29.25" customHeight="1">
      <c r="A96" s="139" t="s">
        <v>59</v>
      </c>
      <c r="B96" s="124" t="s">
        <v>376</v>
      </c>
      <c r="C96" s="140" t="s">
        <v>366</v>
      </c>
      <c r="D96" s="156" t="s">
        <v>377</v>
      </c>
      <c r="E96" s="110" t="s">
        <v>143</v>
      </c>
      <c r="F96" s="154" t="s">
        <v>37</v>
      </c>
      <c r="G96" s="155">
        <v>100</v>
      </c>
      <c r="H96" s="70">
        <f>IF(OR(J96="",K96="",K96&lt;J96),0,NETWORKDAYS(J96,K96,fESTIVOS!$A$2:$A$53))</f>
        <v>1</v>
      </c>
      <c r="I96" s="146">
        <v>45968</v>
      </c>
      <c r="J96" s="121">
        <v>45968</v>
      </c>
      <c r="K96" s="121">
        <v>45968</v>
      </c>
      <c r="L96" s="121">
        <v>45968</v>
      </c>
      <c r="M96" s="25">
        <f ca="1">IF(OR(J96="",AND(L96="",TODAY()&lt;J96),AND(L96&lt;&gt;"",L96&lt;J96)),0,
   IF(L96="",
      NETWORKDAYS(J96,TODAY(),fESTIVOS!$A$2:$A$53),
      NETWORKDAYS(J96,L96,fESTIVOS!$A$2:$A$53)
   )
)</f>
        <v>1</v>
      </c>
      <c r="N96" s="143"/>
      <c r="O96" s="143"/>
      <c r="P96" s="144"/>
      <c r="Q96" s="122" t="s">
        <v>378</v>
      </c>
      <c r="R96" s="118" t="s">
        <v>38</v>
      </c>
      <c r="S96" s="119"/>
    </row>
    <row r="97" spans="1:19" ht="29.25" customHeight="1">
      <c r="A97" s="139" t="s">
        <v>59</v>
      </c>
      <c r="B97" s="124" t="s">
        <v>379</v>
      </c>
      <c r="C97" s="140" t="s">
        <v>270</v>
      </c>
      <c r="D97" s="145"/>
      <c r="E97" s="124" t="s">
        <v>80</v>
      </c>
      <c r="F97" s="141" t="s">
        <v>37</v>
      </c>
      <c r="G97" s="142">
        <v>100</v>
      </c>
      <c r="H97" s="70">
        <f>IF(OR(J97="",K97="",K97&lt;J97),0,NETWORKDAYS(J97,K97,fESTIVOS!$A$2:$A$53))</f>
        <v>1</v>
      </c>
      <c r="I97" s="146">
        <v>45968</v>
      </c>
      <c r="J97" s="121">
        <v>45968</v>
      </c>
      <c r="K97" s="121">
        <v>45968</v>
      </c>
      <c r="L97" s="121">
        <v>45968</v>
      </c>
      <c r="M97" s="25">
        <f ca="1">IF(OR(J97="",AND(L97="",TODAY()&lt;J97),AND(L97&lt;&gt;"",L97&lt;J97)),0,
   IF(L97="",
      NETWORKDAYS(J97,TODAY(),fESTIVOS!$A$2:$A$53),
      NETWORKDAYS(J97,L97,fESTIVOS!$A$2:$A$53)
   )
)</f>
        <v>1</v>
      </c>
      <c r="N97" s="143"/>
      <c r="O97" s="143"/>
      <c r="P97" s="144"/>
      <c r="Q97" s="122" t="s">
        <v>380</v>
      </c>
      <c r="R97" s="118" t="s">
        <v>38</v>
      </c>
      <c r="S97" s="119"/>
    </row>
    <row r="98" spans="1:19" ht="29.25" customHeight="1">
      <c r="A98" s="139" t="s">
        <v>59</v>
      </c>
      <c r="B98" s="124" t="s">
        <v>381</v>
      </c>
      <c r="C98" s="140" t="s">
        <v>382</v>
      </c>
      <c r="D98" s="145" t="s">
        <v>383</v>
      </c>
      <c r="E98" s="127" t="s">
        <v>126</v>
      </c>
      <c r="F98" s="154" t="s">
        <v>37</v>
      </c>
      <c r="G98" s="155">
        <v>100</v>
      </c>
      <c r="H98" s="70">
        <f>IF(OR(J98="",K98="",K98&lt;J98),0,NETWORKDAYS(J98,K98,fESTIVOS!$A$2:$A$53))</f>
        <v>0</v>
      </c>
      <c r="I98" s="158">
        <v>45970</v>
      </c>
      <c r="J98" s="159">
        <v>45970</v>
      </c>
      <c r="K98" s="159">
        <v>45970</v>
      </c>
      <c r="L98" s="159">
        <v>45970</v>
      </c>
      <c r="M98" s="25">
        <f ca="1">IF(OR(J98="",AND(L98="",TODAY()&lt;J98),AND(L98&lt;&gt;"",L98&lt;J98)),0,
   IF(L98="",
      NETWORKDAYS(J98,TODAY(),fESTIVOS!$A$2:$A$53),
      NETWORKDAYS(J98,L98,fESTIVOS!$A$2:$A$53)
   )
)</f>
        <v>0</v>
      </c>
      <c r="N98" s="143"/>
      <c r="O98" s="143"/>
      <c r="P98" s="144"/>
      <c r="Q98" s="122" t="s">
        <v>384</v>
      </c>
      <c r="R98" s="118" t="s">
        <v>38</v>
      </c>
      <c r="S98" s="162"/>
    </row>
    <row r="99" spans="1:19" ht="29.25" customHeight="1">
      <c r="A99" s="139" t="s">
        <v>59</v>
      </c>
      <c r="B99" s="124" t="s">
        <v>385</v>
      </c>
      <c r="C99" s="140" t="s">
        <v>386</v>
      </c>
      <c r="D99" s="145" t="s">
        <v>387</v>
      </c>
      <c r="E99" s="127" t="s">
        <v>126</v>
      </c>
      <c r="F99" s="154" t="s">
        <v>37</v>
      </c>
      <c r="G99" s="155">
        <v>100</v>
      </c>
      <c r="H99" s="70">
        <f>IF(OR(J99="",K99="",K99&lt;J99),0,NETWORKDAYS(J99,K99,fESTIVOS!$A$2:$A$53))</f>
        <v>1</v>
      </c>
      <c r="I99" s="158">
        <v>45972</v>
      </c>
      <c r="J99" s="159">
        <v>45972</v>
      </c>
      <c r="K99" s="159">
        <v>45972</v>
      </c>
      <c r="L99" s="159">
        <v>45972</v>
      </c>
      <c r="M99" s="25">
        <f ca="1">IF(OR(J99="",AND(L99="",TODAY()&lt;J99),AND(L99&lt;&gt;"",L99&lt;J99)),0,
   IF(L99="",
      NETWORKDAYS(J99,TODAY(),fESTIVOS!$A$2:$A$53),
      NETWORKDAYS(J99,L99,fESTIVOS!$A$2:$A$53)
   )
)</f>
        <v>1</v>
      </c>
      <c r="N99" s="143"/>
      <c r="O99" s="143"/>
      <c r="P99" s="144"/>
      <c r="Q99" s="122" t="s">
        <v>388</v>
      </c>
      <c r="R99" s="118" t="s">
        <v>38</v>
      </c>
      <c r="S99" s="162"/>
    </row>
    <row r="100" spans="1:19" ht="29.25" customHeight="1">
      <c r="A100" s="139" t="s">
        <v>59</v>
      </c>
      <c r="B100" s="124" t="s">
        <v>389</v>
      </c>
      <c r="C100" s="140" t="s">
        <v>366</v>
      </c>
      <c r="D100" s="156" t="s">
        <v>390</v>
      </c>
      <c r="E100" s="110" t="s">
        <v>143</v>
      </c>
      <c r="F100" s="163" t="s">
        <v>37</v>
      </c>
      <c r="G100" s="142">
        <v>100</v>
      </c>
      <c r="H100" s="70">
        <f>IF(OR(J100="",K100="",K100&lt;J100),0,NETWORKDAYS(J100,K100,fESTIVOS!$A$2:$A$53))</f>
        <v>3</v>
      </c>
      <c r="I100" s="146">
        <v>45974</v>
      </c>
      <c r="J100" s="121">
        <v>45974</v>
      </c>
      <c r="K100" s="121">
        <v>45979</v>
      </c>
      <c r="L100" s="121">
        <v>46040</v>
      </c>
      <c r="M100" s="25">
        <f ca="1">IF(OR(J100="",AND(L100="",TODAY()&lt;J100),AND(L100&lt;&gt;"",L100&lt;J100)),0,
   IF(L100="",
      NETWORKDAYS(J100,TODAY(),fESTIVOS!$A$2:$A$53),
      NETWORKDAYS(J100,L100,fESTIVOS!$A$2:$A$53)
   )
)</f>
        <v>42</v>
      </c>
      <c r="N100" s="143"/>
      <c r="O100" s="143"/>
      <c r="P100" s="144"/>
      <c r="Q100" s="122" t="s">
        <v>391</v>
      </c>
      <c r="R100" s="118" t="s">
        <v>38</v>
      </c>
      <c r="S100" s="119"/>
    </row>
    <row r="101" spans="1:19" ht="29.25" customHeight="1">
      <c r="A101" s="139" t="s">
        <v>59</v>
      </c>
      <c r="B101" s="124" t="s">
        <v>392</v>
      </c>
      <c r="C101" s="140" t="s">
        <v>270</v>
      </c>
      <c r="D101" s="145" t="s">
        <v>393</v>
      </c>
      <c r="E101" s="124" t="s">
        <v>80</v>
      </c>
      <c r="F101" s="141" t="s">
        <v>37</v>
      </c>
      <c r="G101" s="142">
        <v>100</v>
      </c>
      <c r="H101" s="70">
        <f>IF(OR(J101="",K101="",K101&lt;J101),0,NETWORKDAYS(J101,K101,fESTIVOS!$A$2:$A$53))</f>
        <v>1</v>
      </c>
      <c r="I101" s="146">
        <v>45974</v>
      </c>
      <c r="J101" s="121">
        <v>45974</v>
      </c>
      <c r="K101" s="121">
        <v>45974</v>
      </c>
      <c r="L101" s="121">
        <v>45974</v>
      </c>
      <c r="M101" s="25">
        <f ca="1">IF(OR(J101="",AND(L101="",TODAY()&lt;J101),AND(L101&lt;&gt;"",L101&lt;J101)),0,
   IF(L101="",
      NETWORKDAYS(J101,TODAY(),fESTIVOS!$A$2:$A$53),
      NETWORKDAYS(J101,L101,fESTIVOS!$A$2:$A$53)
   )
)</f>
        <v>1</v>
      </c>
      <c r="N101" s="143"/>
      <c r="O101" s="143"/>
      <c r="P101" s="144"/>
      <c r="Q101" s="122" t="s">
        <v>394</v>
      </c>
      <c r="R101" s="118" t="s">
        <v>38</v>
      </c>
      <c r="S101" s="119"/>
    </row>
    <row r="102" spans="1:19" ht="29.25" customHeight="1">
      <c r="A102" s="148" t="s">
        <v>59</v>
      </c>
      <c r="B102" s="149" t="s">
        <v>395</v>
      </c>
      <c r="C102" s="164" t="s">
        <v>369</v>
      </c>
      <c r="D102" s="109" t="s">
        <v>396</v>
      </c>
      <c r="E102" s="151" t="s">
        <v>126</v>
      </c>
      <c r="F102" s="137" t="s">
        <v>37</v>
      </c>
      <c r="G102" s="138">
        <v>100</v>
      </c>
      <c r="H102" s="70">
        <f>IF(OR(J102="",K102="",K102&lt;J102),0,NETWORKDAYS(J102,K102,fESTIVOS!$A$2:$A$53))</f>
        <v>1</v>
      </c>
      <c r="I102" s="158">
        <v>45979</v>
      </c>
      <c r="J102" s="159">
        <v>45979</v>
      </c>
      <c r="K102" s="159">
        <v>45979</v>
      </c>
      <c r="L102" s="159">
        <v>45979</v>
      </c>
      <c r="M102" s="25">
        <f ca="1">IF(OR(J102="",AND(L102="",TODAY()&lt;J102),AND(L102&lt;&gt;"",L102&lt;J102)),0,
   IF(L102="",
      NETWORKDAYS(J102,TODAY(),fESTIVOS!$A$2:$A$53),
      NETWORKDAYS(J102,L102,fESTIVOS!$A$2:$A$53)
   )
)</f>
        <v>1</v>
      </c>
      <c r="N102" s="115"/>
      <c r="O102" s="115"/>
      <c r="P102" s="116"/>
      <c r="Q102" s="160" t="s">
        <v>397</v>
      </c>
      <c r="R102" s="136" t="s">
        <v>38</v>
      </c>
      <c r="S102" s="153"/>
    </row>
    <row r="103" spans="1:19" ht="29.25" customHeight="1">
      <c r="A103" s="139" t="s">
        <v>59</v>
      </c>
      <c r="B103" s="124" t="s">
        <v>398</v>
      </c>
      <c r="C103" s="140" t="s">
        <v>366</v>
      </c>
      <c r="D103" s="156" t="s">
        <v>399</v>
      </c>
      <c r="E103" s="110" t="s">
        <v>143</v>
      </c>
      <c r="F103" s="163" t="s">
        <v>37</v>
      </c>
      <c r="G103" s="142">
        <v>100</v>
      </c>
      <c r="H103" s="70">
        <f>IF(OR(J103="",K103="",K103&lt;J103),0,NETWORKDAYS(J103,K103,fESTIVOS!$A$2:$A$53))</f>
        <v>1</v>
      </c>
      <c r="I103" s="146">
        <v>45980</v>
      </c>
      <c r="J103" s="121">
        <v>45980</v>
      </c>
      <c r="K103" s="121">
        <v>45980</v>
      </c>
      <c r="L103" s="121">
        <v>45980</v>
      </c>
      <c r="M103" s="25">
        <f ca="1">IF(OR(J103="",AND(L103="",TODAY()&lt;J103),AND(L103&lt;&gt;"",L103&lt;J103)),0,
   IF(L103="",
      NETWORKDAYS(J103,TODAY(),fESTIVOS!$A$2:$A$53),
      NETWORKDAYS(J103,L103,fESTIVOS!$A$2:$A$53)
   )
)</f>
        <v>1</v>
      </c>
      <c r="N103" s="143"/>
      <c r="O103" s="143"/>
      <c r="P103" s="144"/>
      <c r="Q103" s="122" t="s">
        <v>400</v>
      </c>
      <c r="R103" s="118" t="s">
        <v>38</v>
      </c>
      <c r="S103" s="119"/>
    </row>
    <row r="104" spans="1:19" ht="29.25" customHeight="1">
      <c r="A104" s="139" t="s">
        <v>59</v>
      </c>
      <c r="B104" s="124" t="s">
        <v>401</v>
      </c>
      <c r="C104" s="140" t="s">
        <v>366</v>
      </c>
      <c r="D104" s="156" t="s">
        <v>402</v>
      </c>
      <c r="E104" s="110" t="s">
        <v>143</v>
      </c>
      <c r="F104" s="163" t="s">
        <v>37</v>
      </c>
      <c r="G104" s="142">
        <v>100</v>
      </c>
      <c r="H104" s="70">
        <f>IF(OR(J104="",K104="",K104&lt;J104),0,NETWORKDAYS(J104,K104,fESTIVOS!$A$2:$A$53))</f>
        <v>1</v>
      </c>
      <c r="I104" s="146">
        <v>45981</v>
      </c>
      <c r="J104" s="121">
        <v>45981</v>
      </c>
      <c r="K104" s="121">
        <v>45981</v>
      </c>
      <c r="L104" s="121">
        <v>45981</v>
      </c>
      <c r="M104" s="25">
        <f ca="1">IF(OR(J104="",AND(L104="",TODAY()&lt;J104),AND(L104&lt;&gt;"",L104&lt;J104)),0,
   IF(L104="",
      NETWORKDAYS(J104,TODAY(),fESTIVOS!$A$2:$A$53),
      NETWORKDAYS(J104,L104,fESTIVOS!$A$2:$A$53)
   )
)</f>
        <v>1</v>
      </c>
      <c r="N104" s="143"/>
      <c r="O104" s="143"/>
      <c r="P104" s="144"/>
      <c r="Q104" s="122" t="s">
        <v>403</v>
      </c>
      <c r="R104" s="118" t="s">
        <v>38</v>
      </c>
      <c r="S104" s="119"/>
    </row>
    <row r="105" spans="1:19" ht="29.25" customHeight="1">
      <c r="A105" s="139" t="s">
        <v>59</v>
      </c>
      <c r="B105" s="124" t="s">
        <v>404</v>
      </c>
      <c r="C105" s="140" t="s">
        <v>405</v>
      </c>
      <c r="D105" s="145" t="s">
        <v>406</v>
      </c>
      <c r="E105" s="110" t="s">
        <v>62</v>
      </c>
      <c r="F105" s="141" t="s">
        <v>37</v>
      </c>
      <c r="G105" s="142">
        <v>100</v>
      </c>
      <c r="H105" s="70">
        <f>IF(OR(J105="",K105="",K105&lt;J105),0,NETWORKDAYS(J105,K105,fESTIVOS!$A$2:$A$53))</f>
        <v>77</v>
      </c>
      <c r="I105" s="146">
        <v>45981</v>
      </c>
      <c r="J105" s="121">
        <v>45981</v>
      </c>
      <c r="K105" s="121">
        <v>46093</v>
      </c>
      <c r="L105" s="121">
        <v>46093</v>
      </c>
      <c r="M105" s="25">
        <f ca="1">IF(OR(J105="",AND(L105="",TODAY()&lt;J105),AND(L105&lt;&gt;"",L105&lt;J105)),0,
   IF(L105="",
      NETWORKDAYS(J105,TODAY(),fESTIVOS!$A$2:$A$53),
      NETWORKDAYS(J105,L105,fESTIVOS!$A$2:$A$53)
   )
)</f>
        <v>77</v>
      </c>
      <c r="N105" s="143"/>
      <c r="O105" s="143"/>
      <c r="P105" s="144"/>
      <c r="Q105" s="122" t="s">
        <v>407</v>
      </c>
      <c r="R105" s="118" t="s">
        <v>38</v>
      </c>
      <c r="S105" s="119"/>
    </row>
    <row r="106" spans="1:19" ht="29.25" customHeight="1">
      <c r="A106" s="148" t="s">
        <v>59</v>
      </c>
      <c r="B106" s="149" t="s">
        <v>408</v>
      </c>
      <c r="C106" s="150" t="s">
        <v>409</v>
      </c>
      <c r="D106" s="109" t="s">
        <v>410</v>
      </c>
      <c r="E106" s="151" t="s">
        <v>126</v>
      </c>
      <c r="F106" s="137" t="s">
        <v>37</v>
      </c>
      <c r="G106" s="138">
        <v>100</v>
      </c>
      <c r="H106" s="70">
        <f>IF(OR(J106="",K106="",K106&lt;J106),0,NETWORKDAYS(J106,K106,fESTIVOS!$A$2:$A$53))</f>
        <v>1</v>
      </c>
      <c r="I106" s="158">
        <v>45982</v>
      </c>
      <c r="J106" s="159">
        <v>45982</v>
      </c>
      <c r="K106" s="159">
        <v>45982</v>
      </c>
      <c r="L106" s="159">
        <v>45982</v>
      </c>
      <c r="M106" s="25">
        <f ca="1">IF(OR(J106="",AND(L106="",TODAY()&lt;J106),AND(L106&lt;&gt;"",L106&lt;J106)),0,
   IF(L106="",
      NETWORKDAYS(J106,TODAY(),fESTIVOS!$A$2:$A$53),
      NETWORKDAYS(J106,L106,fESTIVOS!$A$2:$A$53)
   )
)</f>
        <v>1</v>
      </c>
      <c r="N106" s="115"/>
      <c r="O106" s="115"/>
      <c r="P106" s="116"/>
      <c r="Q106" s="160" t="s">
        <v>411</v>
      </c>
      <c r="R106" s="136" t="s">
        <v>38</v>
      </c>
      <c r="S106" s="153"/>
    </row>
    <row r="107" spans="1:19" ht="29.25" customHeight="1">
      <c r="A107" s="148" t="s">
        <v>59</v>
      </c>
      <c r="B107" s="149" t="s">
        <v>412</v>
      </c>
      <c r="C107" s="164" t="s">
        <v>369</v>
      </c>
      <c r="D107" s="109" t="s">
        <v>396</v>
      </c>
      <c r="E107" s="151" t="s">
        <v>126</v>
      </c>
      <c r="F107" s="137" t="s">
        <v>37</v>
      </c>
      <c r="G107" s="138">
        <v>100</v>
      </c>
      <c r="H107" s="70">
        <f>IF(OR(J107="",K107="",K107&lt;J107),0,NETWORKDAYS(J107,K107,fESTIVOS!$A$2:$A$53))</f>
        <v>1</v>
      </c>
      <c r="I107" s="158">
        <v>45981</v>
      </c>
      <c r="J107" s="159">
        <v>45981</v>
      </c>
      <c r="K107" s="159">
        <v>45981</v>
      </c>
      <c r="L107" s="159">
        <v>45981</v>
      </c>
      <c r="M107" s="25">
        <f ca="1">IF(OR(J107="",AND(L107="",TODAY()&lt;J107),AND(L107&lt;&gt;"",L107&lt;J107)),0,
   IF(L107="",
      NETWORKDAYS(J107,TODAY(),fESTIVOS!$A$2:$A$53),
      NETWORKDAYS(J107,L107,fESTIVOS!$A$2:$A$53)
   )
)</f>
        <v>1</v>
      </c>
      <c r="N107" s="115"/>
      <c r="O107" s="115"/>
      <c r="P107" s="116"/>
      <c r="Q107" s="160" t="s">
        <v>413</v>
      </c>
      <c r="R107" s="136" t="s">
        <v>38</v>
      </c>
      <c r="S107" s="153"/>
    </row>
    <row r="108" spans="1:19" ht="29.25" customHeight="1">
      <c r="A108" s="148" t="s">
        <v>59</v>
      </c>
      <c r="B108" s="149" t="s">
        <v>414</v>
      </c>
      <c r="C108" s="150" t="s">
        <v>415</v>
      </c>
      <c r="D108" s="109" t="s">
        <v>416</v>
      </c>
      <c r="E108" s="151" t="s">
        <v>126</v>
      </c>
      <c r="F108" s="134" t="s">
        <v>37</v>
      </c>
      <c r="G108" s="135">
        <v>100</v>
      </c>
      <c r="H108" s="70">
        <f>IF(OR(J108="",K108="",K108&lt;J108),0,NETWORKDAYS(J108,K108,fESTIVOS!$A$2:$A$53))</f>
        <v>2</v>
      </c>
      <c r="I108" s="158">
        <v>45986</v>
      </c>
      <c r="J108" s="159">
        <v>45986</v>
      </c>
      <c r="K108" s="159">
        <v>45987</v>
      </c>
      <c r="L108" s="159">
        <v>45986</v>
      </c>
      <c r="M108" s="25">
        <f ca="1">IF(OR(J108="",AND(L108="",TODAY()&lt;J108),AND(L108&lt;&gt;"",L108&lt;J108)),0,
   IF(L108="",
      NETWORKDAYS(J108,TODAY(),fESTIVOS!$A$2:$A$53),
      NETWORKDAYS(J108,L108,fESTIVOS!$A$2:$A$53)
   )
)</f>
        <v>1</v>
      </c>
      <c r="N108" s="115"/>
      <c r="O108" s="115"/>
      <c r="P108" s="116"/>
      <c r="Q108" s="160" t="s">
        <v>417</v>
      </c>
      <c r="R108" s="136" t="s">
        <v>38</v>
      </c>
      <c r="S108" s="153"/>
    </row>
    <row r="109" spans="1:19" ht="29.25" customHeight="1">
      <c r="A109" s="148" t="s">
        <v>59</v>
      </c>
      <c r="B109" s="124" t="s">
        <v>418</v>
      </c>
      <c r="C109" s="108" t="s">
        <v>419</v>
      </c>
      <c r="D109" s="120" t="s">
        <v>420</v>
      </c>
      <c r="E109" s="110" t="s">
        <v>62</v>
      </c>
      <c r="F109" s="134" t="s">
        <v>37</v>
      </c>
      <c r="G109" s="135">
        <v>100</v>
      </c>
      <c r="H109" s="70">
        <f>IF(OR(J109="",K109="",K109&lt;J109),0,NETWORKDAYS(J109,K109,fESTIVOS!$A$2:$A$53))</f>
        <v>2</v>
      </c>
      <c r="I109" s="158">
        <v>45987</v>
      </c>
      <c r="J109" s="159">
        <v>45987</v>
      </c>
      <c r="K109" s="159">
        <v>45988</v>
      </c>
      <c r="L109" s="159">
        <v>45995</v>
      </c>
      <c r="M109" s="25">
        <f ca="1">IF(OR(J109="",AND(L109="",TODAY()&lt;J109),AND(L109&lt;&gt;"",L109&lt;J109)),0,
   IF(L109="",
      NETWORKDAYS(J109,TODAY(),fESTIVOS!$A$2:$A$53),
      NETWORKDAYS(J109,L109,fESTIVOS!$A$2:$A$53)
   )
)</f>
        <v>7</v>
      </c>
      <c r="N109" s="115"/>
      <c r="O109" s="115"/>
      <c r="P109" s="116"/>
      <c r="Q109" s="160" t="s">
        <v>421</v>
      </c>
      <c r="R109" s="136" t="s">
        <v>38</v>
      </c>
      <c r="S109" s="153"/>
    </row>
    <row r="110" spans="1:19" ht="29.25" customHeight="1">
      <c r="A110" s="148" t="s">
        <v>59</v>
      </c>
      <c r="B110" s="149" t="s">
        <v>422</v>
      </c>
      <c r="C110" s="150" t="s">
        <v>423</v>
      </c>
      <c r="D110" s="109" t="s">
        <v>424</v>
      </c>
      <c r="E110" s="151" t="s">
        <v>126</v>
      </c>
      <c r="F110" s="134" t="s">
        <v>37</v>
      </c>
      <c r="G110" s="135">
        <v>100</v>
      </c>
      <c r="H110" s="70">
        <f>IF(OR(J110="",K110="",K110&lt;J110),0,NETWORKDAYS(J110,K110,fESTIVOS!$A$2:$A$53))</f>
        <v>31</v>
      </c>
      <c r="I110" s="158">
        <v>45989</v>
      </c>
      <c r="J110" s="159">
        <v>45989</v>
      </c>
      <c r="K110" s="159">
        <v>46037</v>
      </c>
      <c r="L110" s="159">
        <v>46037</v>
      </c>
      <c r="M110" s="25">
        <f ca="1">IF(OR(J110="",AND(L110="",TODAY()&lt;J110),AND(L110&lt;&gt;"",L110&lt;J110)),0,
   IF(L110="",
      NETWORKDAYS(J110,TODAY(),fESTIVOS!$A$2:$A$53),
      NETWORKDAYS(J110,L110,fESTIVOS!$A$2:$A$53)
   )
)</f>
        <v>31</v>
      </c>
      <c r="N110" s="115"/>
      <c r="O110" s="115"/>
      <c r="P110" s="116"/>
      <c r="Q110" s="160" t="s">
        <v>425</v>
      </c>
      <c r="R110" s="136" t="s">
        <v>38</v>
      </c>
      <c r="S110" s="153"/>
    </row>
    <row r="111" spans="1:19" ht="29.25" customHeight="1">
      <c r="A111" s="139" t="s">
        <v>59</v>
      </c>
      <c r="B111" s="124" t="s">
        <v>426</v>
      </c>
      <c r="C111" s="140" t="s">
        <v>427</v>
      </c>
      <c r="D111" s="156" t="s">
        <v>428</v>
      </c>
      <c r="E111" s="110" t="s">
        <v>143</v>
      </c>
      <c r="F111" s="163" t="s">
        <v>37</v>
      </c>
      <c r="G111" s="142">
        <v>100</v>
      </c>
      <c r="H111" s="70">
        <f>IF(OR(J111="",K111="",K111&lt;J111),0,NETWORKDAYS(J111,K111,fESTIVOS!$A$2:$A$53))</f>
        <v>5</v>
      </c>
      <c r="I111" s="146">
        <v>45992</v>
      </c>
      <c r="J111" s="121">
        <v>45992</v>
      </c>
      <c r="K111" s="121">
        <v>45996</v>
      </c>
      <c r="L111" s="121">
        <v>45994</v>
      </c>
      <c r="M111" s="25">
        <f ca="1">IF(OR(J111="",AND(L111="",TODAY()&lt;J111),AND(L111&lt;&gt;"",L111&lt;J111)),0,
   IF(L111="",
      NETWORKDAYS(J111,TODAY(),fESTIVOS!$A$2:$A$53),
      NETWORKDAYS(J111,L111,fESTIVOS!$A$2:$A$53)
   )
)</f>
        <v>3</v>
      </c>
      <c r="N111" s="143"/>
      <c r="O111" s="143"/>
      <c r="P111" s="144"/>
      <c r="Q111" s="122" t="s">
        <v>429</v>
      </c>
      <c r="R111" s="118" t="s">
        <v>38</v>
      </c>
      <c r="S111" s="119"/>
    </row>
    <row r="112" spans="1:19" ht="29.25" customHeight="1">
      <c r="A112" s="148" t="s">
        <v>59</v>
      </c>
      <c r="B112" s="149" t="s">
        <v>430</v>
      </c>
      <c r="C112" s="150" t="s">
        <v>431</v>
      </c>
      <c r="D112" s="109" t="s">
        <v>424</v>
      </c>
      <c r="E112" s="151" t="s">
        <v>126</v>
      </c>
      <c r="F112" s="134" t="s">
        <v>37</v>
      </c>
      <c r="G112" s="135">
        <v>100</v>
      </c>
      <c r="H112" s="70">
        <f>IF(OR(J112="",K112="",K112&lt;J112),0,NETWORKDAYS(J112,K112,fESTIVOS!$A$2:$A$53))</f>
        <v>1</v>
      </c>
      <c r="I112" s="158">
        <v>45994</v>
      </c>
      <c r="J112" s="159">
        <v>45994</v>
      </c>
      <c r="K112" s="159">
        <v>45994</v>
      </c>
      <c r="L112" s="159">
        <v>45994</v>
      </c>
      <c r="M112" s="25">
        <f ca="1">IF(OR(J112="",AND(L112="",TODAY()&lt;J112),AND(L112&lt;&gt;"",L112&lt;J112)),0,
   IF(L112="",
      NETWORKDAYS(J112,TODAY(),fESTIVOS!$A$2:$A$53),
      NETWORKDAYS(J112,L112,fESTIVOS!$A$2:$A$53)
   )
)</f>
        <v>1</v>
      </c>
      <c r="N112" s="115"/>
      <c r="O112" s="115"/>
      <c r="P112" s="116"/>
      <c r="Q112" s="160" t="s">
        <v>432</v>
      </c>
      <c r="R112" s="136" t="s">
        <v>38</v>
      </c>
      <c r="S112" s="153"/>
    </row>
    <row r="113" spans="1:19" ht="29.25" customHeight="1">
      <c r="A113" s="148" t="s">
        <v>59</v>
      </c>
      <c r="B113" s="124" t="s">
        <v>433</v>
      </c>
      <c r="C113" s="108" t="s">
        <v>434</v>
      </c>
      <c r="D113" s="120" t="s">
        <v>435</v>
      </c>
      <c r="E113" s="110" t="s">
        <v>62</v>
      </c>
      <c r="F113" s="134" t="s">
        <v>37</v>
      </c>
      <c r="G113" s="135">
        <v>100</v>
      </c>
      <c r="H113" s="70">
        <f>IF(OR(J113="",K113="",K113&lt;J113),0,NETWORKDAYS(J113,K113,fESTIVOS!$A$2:$A$53))</f>
        <v>1</v>
      </c>
      <c r="I113" s="158">
        <v>45994</v>
      </c>
      <c r="J113" s="159">
        <v>45994</v>
      </c>
      <c r="K113" s="159">
        <v>45994</v>
      </c>
      <c r="L113" s="159">
        <v>45994</v>
      </c>
      <c r="M113" s="25">
        <f ca="1">IF(OR(J113="",AND(L113="",TODAY()&lt;J113),AND(L113&lt;&gt;"",L113&lt;J113)),0,
   IF(L113="",
      NETWORKDAYS(J113,TODAY(),fESTIVOS!$A$2:$A$53),
      NETWORKDAYS(J113,L113,fESTIVOS!$A$2:$A$53)
   )
)</f>
        <v>1</v>
      </c>
      <c r="N113" s="115"/>
      <c r="O113" s="115"/>
      <c r="P113" s="116"/>
      <c r="Q113" s="160" t="s">
        <v>436</v>
      </c>
      <c r="R113" s="136" t="s">
        <v>38</v>
      </c>
      <c r="S113" s="153"/>
    </row>
    <row r="114" spans="1:19" ht="29.25" customHeight="1">
      <c r="A114" s="139" t="s">
        <v>59</v>
      </c>
      <c r="B114" s="124" t="s">
        <v>437</v>
      </c>
      <c r="C114" s="140" t="s">
        <v>438</v>
      </c>
      <c r="D114" s="156" t="s">
        <v>439</v>
      </c>
      <c r="E114" s="110" t="s">
        <v>143</v>
      </c>
      <c r="F114" s="163" t="s">
        <v>37</v>
      </c>
      <c r="G114" s="142">
        <v>100</v>
      </c>
      <c r="H114" s="70">
        <f>IF(OR(J114="",K114="",K114&lt;J114),0,NETWORKDAYS(J114,K114,fESTIVOS!$A$2:$A$53))</f>
        <v>2</v>
      </c>
      <c r="I114" s="146">
        <v>45995</v>
      </c>
      <c r="J114" s="121">
        <v>45995</v>
      </c>
      <c r="K114" s="121">
        <v>45996</v>
      </c>
      <c r="L114" s="121">
        <v>45996</v>
      </c>
      <c r="M114" s="25">
        <f ca="1">IF(OR(J114="",AND(L114="",TODAY()&lt;J114),AND(L114&lt;&gt;"",L114&lt;J114)),0,
   IF(L114="",
      NETWORKDAYS(J114,TODAY(),fESTIVOS!$A$2:$A$53),
      NETWORKDAYS(J114,L114,fESTIVOS!$A$2:$A$53)
   )
)</f>
        <v>2</v>
      </c>
      <c r="N114" s="143"/>
      <c r="O114" s="143"/>
      <c r="P114" s="144"/>
      <c r="Q114" s="122" t="s">
        <v>440</v>
      </c>
      <c r="R114" s="118" t="s">
        <v>38</v>
      </c>
      <c r="S114" s="119"/>
    </row>
    <row r="115" spans="1:19" ht="29.25" customHeight="1">
      <c r="A115" s="148" t="s">
        <v>59</v>
      </c>
      <c r="B115" s="124" t="s">
        <v>441</v>
      </c>
      <c r="C115" s="108" t="s">
        <v>442</v>
      </c>
      <c r="D115" s="120" t="s">
        <v>443</v>
      </c>
      <c r="E115" s="110" t="s">
        <v>62</v>
      </c>
      <c r="F115" s="134" t="s">
        <v>37</v>
      </c>
      <c r="G115" s="135">
        <v>100</v>
      </c>
      <c r="H115" s="70">
        <f>IF(OR(J115="",K115="",K115&lt;J115),0,NETWORKDAYS(J115,K115,fESTIVOS!$A$2:$A$53))</f>
        <v>1</v>
      </c>
      <c r="I115" s="158">
        <v>45996</v>
      </c>
      <c r="J115" s="159">
        <v>45996</v>
      </c>
      <c r="K115" s="159">
        <v>45996</v>
      </c>
      <c r="L115" s="159">
        <v>45996</v>
      </c>
      <c r="M115" s="25">
        <f ca="1">IF(OR(J115="",AND(L115="",TODAY()&lt;J115),AND(L115&lt;&gt;"",L115&lt;J115)),0,
   IF(L115="",
      NETWORKDAYS(J115,TODAY(),fESTIVOS!$A$2:$A$53),
      NETWORKDAYS(J115,L115,fESTIVOS!$A$2:$A$53)
   )
)</f>
        <v>1</v>
      </c>
      <c r="N115" s="115"/>
      <c r="O115" s="115"/>
      <c r="P115" s="116"/>
      <c r="Q115" s="160" t="s">
        <v>444</v>
      </c>
      <c r="R115" s="136" t="s">
        <v>38</v>
      </c>
      <c r="S115" s="153"/>
    </row>
    <row r="116" spans="1:19" ht="29.25" customHeight="1">
      <c r="A116" s="139" t="s">
        <v>59</v>
      </c>
      <c r="B116" s="124" t="s">
        <v>445</v>
      </c>
      <c r="C116" s="140" t="s">
        <v>446</v>
      </c>
      <c r="D116" s="156" t="s">
        <v>447</v>
      </c>
      <c r="E116" s="110" t="s">
        <v>143</v>
      </c>
      <c r="F116" s="163" t="s">
        <v>37</v>
      </c>
      <c r="G116" s="142">
        <v>100</v>
      </c>
      <c r="H116" s="70">
        <f>IF(OR(J116="",K116="",K116&lt;J116),0,NETWORKDAYS(J116,K116,fESTIVOS!$A$2:$A$53))</f>
        <v>0</v>
      </c>
      <c r="I116" s="146">
        <v>46001</v>
      </c>
      <c r="J116" s="121">
        <v>46001</v>
      </c>
      <c r="K116" s="121"/>
      <c r="L116" s="121">
        <v>46058</v>
      </c>
      <c r="M116" s="25">
        <f ca="1">IF(OR(J116="",AND(L116="",TODAY()&lt;J116),AND(L116&lt;&gt;"",L116&lt;J116)),0,
   IF(L116="",
      NETWORKDAYS(J116,TODAY(),fESTIVOS!$A$2:$A$53),
      NETWORKDAYS(J116,L116,fESTIVOS!$A$2:$A$53)
   )
)</f>
        <v>39</v>
      </c>
      <c r="N116" s="143"/>
      <c r="O116" s="143"/>
      <c r="P116" s="144"/>
      <c r="Q116" s="122" t="s">
        <v>448</v>
      </c>
      <c r="R116" s="118" t="s">
        <v>38</v>
      </c>
      <c r="S116" s="119"/>
    </row>
    <row r="117" spans="1:19" ht="29.25" customHeight="1">
      <c r="A117" s="148" t="s">
        <v>59</v>
      </c>
      <c r="B117" s="124" t="s">
        <v>449</v>
      </c>
      <c r="C117" s="108" t="s">
        <v>419</v>
      </c>
      <c r="D117" s="120" t="s">
        <v>450</v>
      </c>
      <c r="E117" s="110" t="s">
        <v>62</v>
      </c>
      <c r="F117" s="134" t="s">
        <v>37</v>
      </c>
      <c r="G117" s="135">
        <v>100</v>
      </c>
      <c r="H117" s="70">
        <f>IF(OR(J117="",K117="",K117&lt;J117),0,NETWORKDAYS(J117,K117,fESTIVOS!$A$2:$A$53))</f>
        <v>26</v>
      </c>
      <c r="I117" s="146">
        <v>46001</v>
      </c>
      <c r="J117" s="121">
        <v>46001</v>
      </c>
      <c r="K117" s="159">
        <v>46041</v>
      </c>
      <c r="L117" s="159">
        <v>46045</v>
      </c>
      <c r="M117" s="25">
        <f ca="1">IF(OR(J117="",AND(L117="",TODAY()&lt;J117),AND(L117&lt;&gt;"",L117&lt;J117)),0,
   IF(L117="",
      NETWORKDAYS(J117,TODAY(),fESTIVOS!$A$2:$A$53),
      NETWORKDAYS(J117,L117,fESTIVOS!$A$2:$A$53)
   )
)</f>
        <v>30</v>
      </c>
      <c r="N117" s="115"/>
      <c r="O117" s="115"/>
      <c r="P117" s="116"/>
      <c r="Q117" s="160" t="s">
        <v>451</v>
      </c>
      <c r="R117" s="136" t="s">
        <v>38</v>
      </c>
      <c r="S117" s="153"/>
    </row>
    <row r="118" spans="1:19" ht="29.25" customHeight="1">
      <c r="A118" s="148" t="s">
        <v>59</v>
      </c>
      <c r="B118" s="124" t="s">
        <v>452</v>
      </c>
      <c r="C118" s="108" t="s">
        <v>453</v>
      </c>
      <c r="D118" s="120" t="s">
        <v>454</v>
      </c>
      <c r="E118" s="110" t="s">
        <v>62</v>
      </c>
      <c r="F118" s="134" t="s">
        <v>37</v>
      </c>
      <c r="G118" s="135">
        <v>100</v>
      </c>
      <c r="H118" s="70">
        <f>IF(OR(J118="",K118="",K118&lt;J118),0,NETWORKDAYS(J118,K118,fESTIVOS!$A$2:$A$53))</f>
        <v>26</v>
      </c>
      <c r="I118" s="146">
        <v>46003</v>
      </c>
      <c r="J118" s="121">
        <v>46003</v>
      </c>
      <c r="K118" s="159">
        <v>46043</v>
      </c>
      <c r="L118" s="159">
        <v>46043</v>
      </c>
      <c r="M118" s="25">
        <f ca="1">IF(OR(J118="",AND(L118="",TODAY()&lt;J118),AND(L118&lt;&gt;"",L118&lt;J118)),0,
   IF(L118="",
      NETWORKDAYS(J118,TODAY(),fESTIVOS!$A$2:$A$53),
      NETWORKDAYS(J118,L118,fESTIVOS!$A$2:$A$53)
   )
)</f>
        <v>26</v>
      </c>
      <c r="N118" s="115"/>
      <c r="O118" s="115"/>
      <c r="P118" s="116"/>
      <c r="Q118" s="160" t="s">
        <v>455</v>
      </c>
      <c r="R118" s="136" t="s">
        <v>38</v>
      </c>
      <c r="S118" s="153"/>
    </row>
    <row r="119" spans="1:19" ht="29.25" customHeight="1">
      <c r="A119" s="139" t="s">
        <v>59</v>
      </c>
      <c r="B119" s="124" t="s">
        <v>456</v>
      </c>
      <c r="C119" s="108" t="s">
        <v>457</v>
      </c>
      <c r="D119" s="120" t="s">
        <v>458</v>
      </c>
      <c r="E119" s="110" t="s">
        <v>62</v>
      </c>
      <c r="F119" s="163" t="s">
        <v>37</v>
      </c>
      <c r="G119" s="142">
        <v>100</v>
      </c>
      <c r="H119" s="70">
        <f>IF(OR(J119="",K119="",K119&lt;J119),0,NETWORKDAYS(J119,K119,fESTIVOS!$A$2:$A$53))</f>
        <v>22</v>
      </c>
      <c r="I119" s="146">
        <v>46009</v>
      </c>
      <c r="J119" s="121">
        <v>46009</v>
      </c>
      <c r="K119" s="121">
        <v>46043</v>
      </c>
      <c r="L119" s="121">
        <v>46043</v>
      </c>
      <c r="M119" s="25">
        <f ca="1">IF(OR(J119="",AND(L119="",TODAY()&lt;J119),AND(L119&lt;&gt;"",L119&lt;J119)),0,
   IF(L119="",
      NETWORKDAYS(J119,TODAY(),fESTIVOS!$A$2:$A$53),
      NETWORKDAYS(J119,L119,fESTIVOS!$A$2:$A$53)
   )
)</f>
        <v>22</v>
      </c>
      <c r="N119" s="143"/>
      <c r="O119" s="143"/>
      <c r="P119" s="144"/>
      <c r="Q119" s="122" t="s">
        <v>459</v>
      </c>
      <c r="R119" s="118" t="s">
        <v>38</v>
      </c>
      <c r="S119" s="119"/>
    </row>
    <row r="120" spans="1:19" ht="29.25" customHeight="1">
      <c r="A120" s="139" t="s">
        <v>59</v>
      </c>
      <c r="B120" s="124" t="s">
        <v>460</v>
      </c>
      <c r="C120" s="108" t="s">
        <v>461</v>
      </c>
      <c r="D120" s="120" t="s">
        <v>462</v>
      </c>
      <c r="E120" s="110" t="s">
        <v>62</v>
      </c>
      <c r="F120" s="163" t="s">
        <v>37</v>
      </c>
      <c r="G120" s="142">
        <v>100</v>
      </c>
      <c r="H120" s="70">
        <f>IF(OR(J120="",K120="",K120&lt;J120),0,NETWORKDAYS(J120,K120,fESTIVOS!$A$2:$A$53))</f>
        <v>9</v>
      </c>
      <c r="I120" s="146">
        <v>46035</v>
      </c>
      <c r="J120" s="121">
        <v>46035</v>
      </c>
      <c r="K120" s="121">
        <v>46045</v>
      </c>
      <c r="L120" s="121">
        <v>46044</v>
      </c>
      <c r="M120" s="25">
        <f ca="1">IF(OR(J120="",AND(L120="",TODAY()&lt;J120),AND(L120&lt;&gt;"",L120&lt;J120)),0,
   IF(L120="",
      NETWORKDAYS(J120,TODAY(),fESTIVOS!$A$2:$A$53),
      NETWORKDAYS(J120,L120,fESTIVOS!$A$2:$A$53)
   )
)</f>
        <v>8</v>
      </c>
      <c r="N120" s="143"/>
      <c r="O120" s="143"/>
      <c r="P120" s="144"/>
      <c r="Q120" s="122" t="s">
        <v>463</v>
      </c>
      <c r="R120" s="118" t="s">
        <v>38</v>
      </c>
      <c r="S120" s="119"/>
    </row>
    <row r="121" spans="1:19" ht="29.25" customHeight="1">
      <c r="A121" s="148" t="s">
        <v>59</v>
      </c>
      <c r="B121" s="149" t="s">
        <v>464</v>
      </c>
      <c r="C121" s="150" t="s">
        <v>465</v>
      </c>
      <c r="D121" s="157" t="s">
        <v>466</v>
      </c>
      <c r="E121" s="149" t="s">
        <v>126</v>
      </c>
      <c r="F121" s="152" t="s">
        <v>37</v>
      </c>
      <c r="G121" s="135">
        <v>100</v>
      </c>
      <c r="H121" s="70">
        <f>IF(OR(J121="",K121="",K121&lt;J121),0,NETWORKDAYS(J121,K121,fESTIVOS!$A$2:$A$53))</f>
        <v>1</v>
      </c>
      <c r="I121" s="158">
        <v>46041</v>
      </c>
      <c r="J121" s="159">
        <v>46041</v>
      </c>
      <c r="K121" s="159">
        <v>46041</v>
      </c>
      <c r="L121" s="159">
        <v>46041</v>
      </c>
      <c r="M121" s="25">
        <f ca="1">IF(OR(J121="",AND(L121="",TODAY()&lt;J121),AND(L121&lt;&gt;"",L121&lt;J121)),0,
   IF(L121="",
      NETWORKDAYS(J121,TODAY(),fESTIVOS!$A$2:$A$53),
      NETWORKDAYS(J121,L121,fESTIVOS!$A$2:$A$53)
   )
)</f>
        <v>1</v>
      </c>
      <c r="N121" s="115"/>
      <c r="O121" s="115"/>
      <c r="P121" s="116"/>
      <c r="Q121" s="160" t="s">
        <v>467</v>
      </c>
      <c r="R121" s="136" t="s">
        <v>38</v>
      </c>
      <c r="S121" s="153"/>
    </row>
    <row r="122" spans="1:19" ht="29.25" customHeight="1">
      <c r="A122" s="148" t="s">
        <v>59</v>
      </c>
      <c r="B122" s="124" t="s">
        <v>468</v>
      </c>
      <c r="C122" s="150" t="s">
        <v>469</v>
      </c>
      <c r="D122" s="157" t="s">
        <v>470</v>
      </c>
      <c r="E122" s="149" t="s">
        <v>62</v>
      </c>
      <c r="F122" s="152" t="s">
        <v>37</v>
      </c>
      <c r="G122" s="135">
        <v>100</v>
      </c>
      <c r="H122" s="70">
        <f>IF(OR(J122="",K122="",K122&lt;J122),0,NETWORKDAYS(J122,K122,fESTIVOS!$A$2:$A$53))</f>
        <v>18</v>
      </c>
      <c r="I122" s="158">
        <v>46044</v>
      </c>
      <c r="J122" s="159">
        <v>46044</v>
      </c>
      <c r="K122" s="159">
        <v>46069</v>
      </c>
      <c r="L122" s="159">
        <v>46069</v>
      </c>
      <c r="M122" s="25">
        <f ca="1">IF(OR(J122="",AND(L122="",TODAY()&lt;J122),AND(L122&lt;&gt;"",L122&lt;J122)),0,
   IF(L122="",
      NETWORKDAYS(J122,TODAY(),fESTIVOS!$A$2:$A$53),
      NETWORKDAYS(J122,L122,fESTIVOS!$A$2:$A$53)
   )
)</f>
        <v>18</v>
      </c>
      <c r="N122" s="115"/>
      <c r="O122" s="115"/>
      <c r="P122" s="116"/>
      <c r="Q122" s="160" t="s">
        <v>471</v>
      </c>
      <c r="R122" s="136" t="s">
        <v>38</v>
      </c>
      <c r="S122" s="153"/>
    </row>
    <row r="123" spans="1:19" ht="29.25" customHeight="1">
      <c r="A123" s="148" t="s">
        <v>59</v>
      </c>
      <c r="B123" s="149" t="s">
        <v>472</v>
      </c>
      <c r="C123" s="150" t="s">
        <v>473</v>
      </c>
      <c r="D123" s="157" t="s">
        <v>474</v>
      </c>
      <c r="E123" s="149" t="s">
        <v>126</v>
      </c>
      <c r="F123" s="152" t="s">
        <v>37</v>
      </c>
      <c r="G123" s="135">
        <v>100</v>
      </c>
      <c r="H123" s="70">
        <f>IF(OR(J123="",K123="",K123&lt;J123),0,NETWORKDAYS(J123,K123,fESTIVOS!$A$2:$A$53))</f>
        <v>1</v>
      </c>
      <c r="I123" s="158">
        <v>46055</v>
      </c>
      <c r="J123" s="159">
        <v>46055</v>
      </c>
      <c r="K123" s="159">
        <v>46055</v>
      </c>
      <c r="L123" s="159">
        <v>46055</v>
      </c>
      <c r="M123" s="25">
        <f ca="1">IF(OR(J123="",AND(L123="",TODAY()&lt;J123),AND(L123&lt;&gt;"",L123&lt;J123)),0,
   IF(L123="",
      NETWORKDAYS(J123,TODAY(),fESTIVOS!$A$2:$A$53),
      NETWORKDAYS(J123,L123,fESTIVOS!$A$2:$A$53)
   )
)</f>
        <v>1</v>
      </c>
      <c r="N123" s="115"/>
      <c r="O123" s="115"/>
      <c r="P123" s="116"/>
      <c r="Q123" s="160" t="s">
        <v>475</v>
      </c>
      <c r="R123" s="136" t="s">
        <v>38</v>
      </c>
      <c r="S123" s="153"/>
    </row>
    <row r="124" spans="1:19" ht="29.25" customHeight="1">
      <c r="A124" s="139" t="s">
        <v>59</v>
      </c>
      <c r="B124" s="124" t="s">
        <v>476</v>
      </c>
      <c r="C124" s="140" t="s">
        <v>427</v>
      </c>
      <c r="D124" s="156" t="s">
        <v>477</v>
      </c>
      <c r="E124" s="110" t="s">
        <v>143</v>
      </c>
      <c r="F124" s="163" t="s">
        <v>37</v>
      </c>
      <c r="G124" s="142">
        <v>100</v>
      </c>
      <c r="H124" s="70">
        <f>IF(OR(J124="",K124="",K124&lt;J124),0,NETWORKDAYS(J124,K124,fESTIVOS!$A$2:$A$53))</f>
        <v>4</v>
      </c>
      <c r="I124" s="146">
        <v>46055</v>
      </c>
      <c r="J124" s="121">
        <v>46055</v>
      </c>
      <c r="K124" s="121">
        <v>46058</v>
      </c>
      <c r="L124" s="121">
        <v>46056</v>
      </c>
      <c r="M124" s="25">
        <f ca="1">IF(OR(J124="",AND(L124="",TODAY()&lt;J124),AND(L124&lt;&gt;"",L124&lt;J124)),0,
   IF(L124="",
      NETWORKDAYS(J124,TODAY(),fESTIVOS!$A$2:$A$53),
      NETWORKDAYS(J124,L124,fESTIVOS!$A$2:$A$53)
   )
)</f>
        <v>2</v>
      </c>
      <c r="N124" s="143"/>
      <c r="O124" s="143"/>
      <c r="P124" s="144"/>
      <c r="Q124" s="122" t="s">
        <v>478</v>
      </c>
      <c r="R124" s="118" t="s">
        <v>38</v>
      </c>
      <c r="S124" s="119"/>
    </row>
    <row r="125" spans="1:19" ht="29.25" customHeight="1">
      <c r="A125" s="148" t="s">
        <v>59</v>
      </c>
      <c r="B125" s="124" t="s">
        <v>479</v>
      </c>
      <c r="C125" s="150" t="s">
        <v>480</v>
      </c>
      <c r="D125" s="157" t="s">
        <v>481</v>
      </c>
      <c r="E125" s="149" t="s">
        <v>62</v>
      </c>
      <c r="F125" s="152" t="s">
        <v>482</v>
      </c>
      <c r="G125" s="135">
        <v>99</v>
      </c>
      <c r="H125" s="70">
        <f>IF(OR(J125="",K125="",K125&lt;J125),0,NETWORKDAYS(J125,K125,fESTIVOS!$A$2:$A$53))</f>
        <v>24</v>
      </c>
      <c r="I125" s="158">
        <v>46062</v>
      </c>
      <c r="J125" s="159">
        <v>46062</v>
      </c>
      <c r="K125" s="159">
        <v>46093</v>
      </c>
      <c r="L125" s="159">
        <v>46093</v>
      </c>
      <c r="M125" s="25">
        <f ca="1">IF(OR(J125="",AND(L125="",TODAY()&lt;J125),AND(L125&lt;&gt;"",L125&lt;J125)),0,
   IF(L125="",
      NETWORKDAYS(J125,TODAY(),fESTIVOS!$A$2:$A$53),
      NETWORKDAYS(J125,L125,fESTIVOS!$A$2:$A$53)
   )
)</f>
        <v>24</v>
      </c>
      <c r="N125" s="115"/>
      <c r="O125" s="115"/>
      <c r="P125" s="116"/>
      <c r="Q125" s="160" t="s">
        <v>483</v>
      </c>
      <c r="R125" s="136" t="s">
        <v>38</v>
      </c>
      <c r="S125" s="153"/>
    </row>
    <row r="126" spans="1:19" ht="29.25" customHeight="1">
      <c r="A126" s="148" t="s">
        <v>59</v>
      </c>
      <c r="B126" s="149" t="s">
        <v>484</v>
      </c>
      <c r="C126" s="150" t="s">
        <v>473</v>
      </c>
      <c r="D126" s="157" t="s">
        <v>474</v>
      </c>
      <c r="E126" s="149" t="s">
        <v>126</v>
      </c>
      <c r="F126" s="152" t="s">
        <v>37</v>
      </c>
      <c r="G126" s="135">
        <v>100</v>
      </c>
      <c r="H126" s="70">
        <f>IF(OR(J126="",K126="",K126&lt;J126),0,NETWORKDAYS(J126,K126,fESTIVOS!$A$2:$A$53))</f>
        <v>1</v>
      </c>
      <c r="I126" s="158">
        <v>46063</v>
      </c>
      <c r="J126" s="159">
        <v>46063</v>
      </c>
      <c r="K126" s="159">
        <v>46063</v>
      </c>
      <c r="L126" s="159">
        <v>46063</v>
      </c>
      <c r="M126" s="25">
        <f ca="1">IF(OR(J126="",AND(L126="",TODAY()&lt;J126),AND(L126&lt;&gt;"",L126&lt;J126)),0,
   IF(L126="",
      NETWORKDAYS(J126,TODAY(),fESTIVOS!$A$2:$A$53),
      NETWORKDAYS(J126,L126,fESTIVOS!$A$2:$A$53)
   )
)</f>
        <v>1</v>
      </c>
      <c r="N126" s="115"/>
      <c r="O126" s="115"/>
      <c r="P126" s="116"/>
      <c r="Q126" s="160" t="s">
        <v>485</v>
      </c>
      <c r="R126" s="136" t="s">
        <v>38</v>
      </c>
      <c r="S126" s="153"/>
    </row>
    <row r="127" spans="1:19" ht="29.25" customHeight="1">
      <c r="A127" s="148" t="s">
        <v>59</v>
      </c>
      <c r="B127" s="124" t="s">
        <v>486</v>
      </c>
      <c r="C127" s="150" t="s">
        <v>461</v>
      </c>
      <c r="D127" s="157" t="s">
        <v>382</v>
      </c>
      <c r="E127" s="149" t="s">
        <v>62</v>
      </c>
      <c r="F127" s="152" t="s">
        <v>37</v>
      </c>
      <c r="G127" s="135">
        <v>100</v>
      </c>
      <c r="H127" s="70">
        <f>IF(OR(J127="",K127="",K127&lt;J127),0,NETWORKDAYS(J127,K127,fESTIVOS!$A$2:$A$53))</f>
        <v>1</v>
      </c>
      <c r="I127" s="158">
        <v>46064</v>
      </c>
      <c r="J127" s="159">
        <v>46064</v>
      </c>
      <c r="K127" s="159">
        <v>46064</v>
      </c>
      <c r="L127" s="159">
        <v>46064</v>
      </c>
      <c r="M127" s="25">
        <f ca="1">IF(OR(J127="",AND(L127="",TODAY()&lt;J127),AND(L127&lt;&gt;"",L127&lt;J127)),0,
   IF(L127="",
      NETWORKDAYS(J127,TODAY(),fESTIVOS!$A$2:$A$53),
      NETWORKDAYS(J127,L127,fESTIVOS!$A$2:$A$53)
   )
)</f>
        <v>1</v>
      </c>
      <c r="N127" s="115"/>
      <c r="O127" s="115"/>
      <c r="P127" s="116"/>
      <c r="Q127" s="160" t="s">
        <v>487</v>
      </c>
      <c r="R127" s="136" t="s">
        <v>38</v>
      </c>
      <c r="S127" s="153"/>
    </row>
    <row r="128" spans="1:19" ht="29.25" customHeight="1">
      <c r="A128" s="139" t="s">
        <v>59</v>
      </c>
      <c r="B128" s="124" t="s">
        <v>488</v>
      </c>
      <c r="C128" s="140" t="s">
        <v>489</v>
      </c>
      <c r="D128" s="156" t="s">
        <v>490</v>
      </c>
      <c r="E128" s="110" t="s">
        <v>143</v>
      </c>
      <c r="F128" s="163" t="s">
        <v>37</v>
      </c>
      <c r="G128" s="142">
        <v>100</v>
      </c>
      <c r="H128" s="70">
        <f>IF(OR(J128="",K128="",K128&lt;J128),0,NETWORKDAYS(J128,K128,fESTIVOS!$A$2:$A$53))</f>
        <v>11</v>
      </c>
      <c r="I128" s="146">
        <v>46064</v>
      </c>
      <c r="J128" s="121">
        <v>46064</v>
      </c>
      <c r="K128" s="121">
        <v>46078</v>
      </c>
      <c r="L128" s="121">
        <v>46078</v>
      </c>
      <c r="M128" s="25">
        <f ca="1">IF(OR(J128="",AND(L128="",TODAY()&lt;J128),AND(L128&lt;&gt;"",L128&lt;J128)),0,
   IF(L128="",
      NETWORKDAYS(J128,TODAY(),fESTIVOS!$A$2:$A$53),
      NETWORKDAYS(J128,L128,fESTIVOS!$A$2:$A$53)
   )
)</f>
        <v>11</v>
      </c>
      <c r="N128" s="143"/>
      <c r="O128" s="143"/>
      <c r="P128" s="144"/>
      <c r="Q128" s="169" t="s">
        <v>491</v>
      </c>
      <c r="R128" s="118" t="s">
        <v>38</v>
      </c>
      <c r="S128" s="119"/>
    </row>
    <row r="129" spans="1:19" ht="29.25" customHeight="1">
      <c r="A129" s="139" t="s">
        <v>59</v>
      </c>
      <c r="B129" s="124" t="s">
        <v>492</v>
      </c>
      <c r="C129" s="140" t="s">
        <v>493</v>
      </c>
      <c r="D129" s="156" t="s">
        <v>494</v>
      </c>
      <c r="E129" s="110" t="s">
        <v>143</v>
      </c>
      <c r="F129" s="163" t="s">
        <v>37</v>
      </c>
      <c r="G129" s="142">
        <v>100</v>
      </c>
      <c r="H129" s="70">
        <f>IF(OR(J129="",K129="",K129&lt;J129),0,NETWORKDAYS(J129,K129,fESTIVOS!$A$2:$A$53))</f>
        <v>12</v>
      </c>
      <c r="I129" s="146">
        <v>46064</v>
      </c>
      <c r="J129" s="121">
        <v>46064</v>
      </c>
      <c r="K129" s="121">
        <v>46079</v>
      </c>
      <c r="L129" s="121">
        <v>46079</v>
      </c>
      <c r="M129" s="25">
        <f ca="1">IF(OR(J129="",AND(L129="",TODAY()&lt;J129),AND(L129&lt;&gt;"",L129&lt;J129)),0,
   IF(L129="",
      NETWORKDAYS(J129,TODAY(),fESTIVOS!$A$2:$A$53),
      NETWORKDAYS(J129,L129,fESTIVOS!$A$2:$A$53)
   )
)</f>
        <v>12</v>
      </c>
      <c r="N129" s="143"/>
      <c r="O129" s="143"/>
      <c r="P129" s="144"/>
      <c r="Q129" s="169" t="s">
        <v>495</v>
      </c>
      <c r="R129" s="118" t="s">
        <v>38</v>
      </c>
      <c r="S129" s="119"/>
    </row>
    <row r="130" spans="1:19" ht="29.25" customHeight="1">
      <c r="A130" s="139" t="s">
        <v>59</v>
      </c>
      <c r="B130" s="124" t="s">
        <v>496</v>
      </c>
      <c r="C130" s="140" t="s">
        <v>497</v>
      </c>
      <c r="D130" s="156" t="s">
        <v>498</v>
      </c>
      <c r="E130" s="110" t="s">
        <v>143</v>
      </c>
      <c r="F130" s="163" t="s">
        <v>39</v>
      </c>
      <c r="G130" s="142">
        <v>10</v>
      </c>
      <c r="H130" s="70">
        <f>IF(OR(J130="",K130="",K130&lt;J130),0,NETWORKDAYS(J130,K130,fESTIVOS!$A$2:$A$53))</f>
        <v>0</v>
      </c>
      <c r="I130" s="146">
        <v>46064</v>
      </c>
      <c r="J130" s="121">
        <v>46064</v>
      </c>
      <c r="K130" s="121"/>
      <c r="L130" s="121"/>
      <c r="M130" s="25">
        <f ca="1">IF(OR(J130="",AND(L130="",TODAY()&lt;J130),AND(L130&lt;&gt;"",L130&lt;J130)),0,
   IF(L130="",
      NETWORKDAYS(J130,TODAY(),fESTIVOS!$A$2:$A$53),
      NETWORKDAYS(J130,L130,fESTIVOS!$A$2:$A$53)
   )
)</f>
        <v>22</v>
      </c>
      <c r="N130" s="143"/>
      <c r="O130" s="143"/>
      <c r="P130" s="144"/>
      <c r="Q130" s="169" t="s">
        <v>499</v>
      </c>
      <c r="R130" s="118" t="s">
        <v>38</v>
      </c>
      <c r="S130" s="119"/>
    </row>
    <row r="131" spans="1:19" ht="29.25" customHeight="1">
      <c r="A131" s="139" t="s">
        <v>59</v>
      </c>
      <c r="B131" s="124" t="s">
        <v>500</v>
      </c>
      <c r="C131" s="140" t="s">
        <v>501</v>
      </c>
      <c r="D131" s="156" t="s">
        <v>502</v>
      </c>
      <c r="E131" s="110" t="s">
        <v>143</v>
      </c>
      <c r="F131" s="163" t="s">
        <v>37</v>
      </c>
      <c r="G131" s="142">
        <v>100</v>
      </c>
      <c r="H131" s="70">
        <f>IF(OR(J131="",K131="",K131&lt;J131),0,NETWORKDAYS(J131,K131,fESTIVOS!$A$2:$A$53))</f>
        <v>13</v>
      </c>
      <c r="I131" s="146">
        <v>46064</v>
      </c>
      <c r="J131" s="121">
        <v>46064</v>
      </c>
      <c r="K131" s="121">
        <v>46080</v>
      </c>
      <c r="L131" s="121">
        <v>46080</v>
      </c>
      <c r="M131" s="25">
        <f ca="1">IF(OR(J131="",AND(L131="",TODAY()&lt;J131),AND(L131&lt;&gt;"",L131&lt;J131)),0,
   IF(L131="",
      NETWORKDAYS(J131,TODAY(),fESTIVOS!$A$2:$A$53),
      NETWORKDAYS(J131,L131,fESTIVOS!$A$2:$A$53)
   )
)</f>
        <v>13</v>
      </c>
      <c r="N131" s="143"/>
      <c r="O131" s="143"/>
      <c r="P131" s="144"/>
      <c r="Q131" s="169" t="s">
        <v>503</v>
      </c>
      <c r="R131" s="118" t="s">
        <v>38</v>
      </c>
      <c r="S131" s="119"/>
    </row>
    <row r="132" spans="1:19" ht="29.25" customHeight="1">
      <c r="A132" s="139" t="s">
        <v>59</v>
      </c>
      <c r="B132" s="124" t="s">
        <v>504</v>
      </c>
      <c r="C132" s="140" t="s">
        <v>505</v>
      </c>
      <c r="D132" s="156" t="s">
        <v>506</v>
      </c>
      <c r="E132" s="110" t="s">
        <v>143</v>
      </c>
      <c r="F132" s="163" t="s">
        <v>37</v>
      </c>
      <c r="G132" s="142">
        <v>100</v>
      </c>
      <c r="H132" s="70">
        <f>IF(OR(J133="",K132="",K132&lt;J133),0,NETWORKDAYS(J133,K132,fESTIVOS!$A$2:$A$53))</f>
        <v>9</v>
      </c>
      <c r="I132" s="146">
        <v>46064</v>
      </c>
      <c r="J132" s="121">
        <v>46064</v>
      </c>
      <c r="K132" s="121">
        <v>46076</v>
      </c>
      <c r="L132" s="121">
        <v>46076</v>
      </c>
      <c r="M132" s="25">
        <f ca="1">IF(OR(J133="",AND(L132="",TODAY()&lt;J133),AND(L132&lt;&gt;"",L132&lt;J133)),0,
   IF(L132="",
      NETWORKDAYS(J133,TODAY(),fESTIVOS!$A$2:$A$53),
      NETWORKDAYS(J133,L132,fESTIVOS!$A$2:$A$53)
   )
)</f>
        <v>9</v>
      </c>
      <c r="N132" s="143"/>
      <c r="O132" s="143"/>
      <c r="P132" s="144"/>
      <c r="Q132" s="169" t="s">
        <v>507</v>
      </c>
      <c r="R132" s="118" t="s">
        <v>38</v>
      </c>
      <c r="S132" s="119"/>
    </row>
    <row r="133" spans="1:19" ht="29.25" customHeight="1">
      <c r="A133" s="139" t="s">
        <v>59</v>
      </c>
      <c r="B133" s="124" t="s">
        <v>508</v>
      </c>
      <c r="C133" s="140" t="s">
        <v>509</v>
      </c>
      <c r="D133" s="156" t="s">
        <v>510</v>
      </c>
      <c r="E133" s="110" t="s">
        <v>143</v>
      </c>
      <c r="F133" s="163" t="s">
        <v>37</v>
      </c>
      <c r="G133" s="142">
        <v>100</v>
      </c>
      <c r="H133" s="289">
        <f>IF(OR(J134="",K133="",K133&lt;J134),0,NETWORKDAYS(J134,K133,fESTIVOS!$A$2:$A$53))</f>
        <v>6</v>
      </c>
      <c r="I133" s="146">
        <v>46064</v>
      </c>
      <c r="J133" s="121">
        <v>46064</v>
      </c>
      <c r="K133" s="121">
        <v>46078</v>
      </c>
      <c r="L133" s="121">
        <v>46078</v>
      </c>
      <c r="M133" s="25" t="e">
        <f ca="1">IF(OR(#REF!="",AND(L133="",TODAY()&lt;#REF!),AND(L133&lt;&gt;"",L133&lt;#REF!)),0,
   IF(L133="",
      NETWORKDAYS(#REF!,TODAY(),fESTIVOS!$A$2:$A$53),
      NETWORKDAYS(#REF!,L133,fESTIVOS!$A$2:$A$53)
   )
)</f>
        <v>#REF!</v>
      </c>
      <c r="N133" s="143"/>
      <c r="O133" s="143"/>
      <c r="P133" s="144"/>
      <c r="Q133" s="169" t="s">
        <v>511</v>
      </c>
      <c r="R133" s="118" t="s">
        <v>38</v>
      </c>
      <c r="S133" s="119"/>
    </row>
    <row r="134" spans="1:19" ht="29.25" customHeight="1">
      <c r="A134" s="148" t="s">
        <v>59</v>
      </c>
      <c r="B134" s="149" t="s">
        <v>512</v>
      </c>
      <c r="C134" s="150" t="s">
        <v>513</v>
      </c>
      <c r="D134" s="157" t="s">
        <v>514</v>
      </c>
      <c r="E134" s="149" t="s">
        <v>126</v>
      </c>
      <c r="F134" s="152" t="s">
        <v>37</v>
      </c>
      <c r="G134" s="135">
        <v>100</v>
      </c>
      <c r="H134" s="289">
        <f>IF(OR(J135="",K134="",K134&lt;J135),0,NETWORKDAYS(J135,K134,fESTIVOS!$A$2:$A$53))</f>
        <v>0</v>
      </c>
      <c r="I134" s="158">
        <v>46071</v>
      </c>
      <c r="J134" s="159">
        <v>46071</v>
      </c>
      <c r="K134" s="159">
        <v>46071</v>
      </c>
      <c r="L134" s="159">
        <v>46071</v>
      </c>
      <c r="M134" s="25">
        <f ca="1">IF(OR(J134="",AND(L134="",TODAY()&lt;J134),AND(L134&lt;&gt;"",L134&lt;J134)),0,
   IF(L134="",
      NETWORKDAYS(J134,TODAY(),fESTIVOS!$A$2:$A$53),
      NETWORKDAYS(J134,L134,fESTIVOS!$A$2:$A$53)
   )
)</f>
        <v>1</v>
      </c>
      <c r="N134" s="115"/>
      <c r="O134" s="115"/>
      <c r="P134" s="116"/>
      <c r="Q134" s="160" t="s">
        <v>515</v>
      </c>
      <c r="R134" s="136" t="s">
        <v>38</v>
      </c>
      <c r="S134" s="153"/>
    </row>
    <row r="135" spans="1:19" ht="29.25" customHeight="1">
      <c r="A135" s="148" t="s">
        <v>59</v>
      </c>
      <c r="B135" s="149" t="s">
        <v>516</v>
      </c>
      <c r="C135" s="150" t="s">
        <v>517</v>
      </c>
      <c r="D135" s="157" t="s">
        <v>518</v>
      </c>
      <c r="E135" s="149" t="s">
        <v>126</v>
      </c>
      <c r="F135" s="152" t="s">
        <v>37</v>
      </c>
      <c r="G135" s="135">
        <v>100</v>
      </c>
      <c r="H135" s="289">
        <f>IF(OR(J136="",K135="",K135&lt;J136),0,NETWORKDAYS(J136,K135,fESTIVOS!$A$2:$A$53))</f>
        <v>1</v>
      </c>
      <c r="I135" s="158">
        <v>46073</v>
      </c>
      <c r="J135" s="159">
        <v>46073</v>
      </c>
      <c r="K135" s="159">
        <v>46073</v>
      </c>
      <c r="L135" s="159">
        <v>46073</v>
      </c>
      <c r="M135" s="25">
        <f ca="1">IF(OR(J135="",AND(L135="",TODAY()&lt;J135),AND(L135&lt;&gt;"",L135&lt;J135)),0,
   IF(L135="",
      NETWORKDAYS(J135,TODAY(),fESTIVOS!$A$2:$A$53),
      NETWORKDAYS(J135,L135,fESTIVOS!$A$2:$A$53)
   )
)</f>
        <v>1</v>
      </c>
      <c r="N135" s="115"/>
      <c r="O135" s="115"/>
      <c r="P135" s="116"/>
      <c r="Q135" s="160" t="s">
        <v>519</v>
      </c>
      <c r="R135" s="136" t="s">
        <v>38</v>
      </c>
      <c r="S135" s="153"/>
    </row>
    <row r="136" spans="1:19" ht="29.25" customHeight="1">
      <c r="A136" s="148" t="s">
        <v>59</v>
      </c>
      <c r="B136" s="149" t="s">
        <v>520</v>
      </c>
      <c r="C136" s="150" t="s">
        <v>521</v>
      </c>
      <c r="D136" s="157" t="s">
        <v>522</v>
      </c>
      <c r="E136" s="149" t="s">
        <v>126</v>
      </c>
      <c r="F136" s="152" t="s">
        <v>37</v>
      </c>
      <c r="G136" s="135">
        <v>100</v>
      </c>
      <c r="H136" s="289">
        <f>IF(OR(J137="",K136="",K136&lt;J137),0,NETWORKDAYS(J137,K136,fESTIVOS!$A$2:$A$53))</f>
        <v>0</v>
      </c>
      <c r="I136" s="158">
        <v>46073</v>
      </c>
      <c r="J136" s="159">
        <v>46073</v>
      </c>
      <c r="K136" s="159">
        <v>46073</v>
      </c>
      <c r="L136" s="159">
        <v>46073</v>
      </c>
      <c r="M136" s="25">
        <f ca="1">IF(OR(J136="",AND(L136="",TODAY()&lt;J136),AND(L136&lt;&gt;"",L136&lt;J136)),0,
   IF(L136="",
      NETWORKDAYS(J136,TODAY(),fESTIVOS!$A$2:$A$53),
      NETWORKDAYS(J136,L136,fESTIVOS!$A$2:$A$53)
   )
)</f>
        <v>1</v>
      </c>
      <c r="N136" s="115"/>
      <c r="O136" s="115"/>
      <c r="P136" s="116"/>
      <c r="Q136" s="160" t="s">
        <v>523</v>
      </c>
      <c r="R136" s="136" t="s">
        <v>38</v>
      </c>
      <c r="S136" s="153"/>
    </row>
    <row r="137" spans="1:19" ht="29.25" customHeight="1">
      <c r="A137" s="139" t="s">
        <v>59</v>
      </c>
      <c r="B137" s="124" t="s">
        <v>524</v>
      </c>
      <c r="C137" s="140" t="s">
        <v>525</v>
      </c>
      <c r="D137" s="156" t="s">
        <v>526</v>
      </c>
      <c r="E137" s="110" t="s">
        <v>143</v>
      </c>
      <c r="F137" s="163" t="s">
        <v>37</v>
      </c>
      <c r="G137" s="142">
        <v>100</v>
      </c>
      <c r="H137" s="289">
        <f>IF(OR(J138="",K137="",K137&lt;J138),0,NETWORKDAYS(J138,K137,fESTIVOS!$A$2:$A$53))</f>
        <v>0</v>
      </c>
      <c r="I137" s="146">
        <v>46077</v>
      </c>
      <c r="J137" s="121">
        <v>46077</v>
      </c>
      <c r="K137" s="121">
        <v>46077</v>
      </c>
      <c r="L137" s="121">
        <v>46077</v>
      </c>
      <c r="M137" s="25" t="e">
        <f ca="1">IF(OR(#REF!="",AND(L137="",TODAY()&lt;#REF!),AND(L137&lt;&gt;"",L137&lt;#REF!)),0,
   IF(L137="",
      NETWORKDAYS(#REF!,TODAY(),fESTIVOS!$A$2:$A$53),
      NETWORKDAYS(#REF!,L137,fESTIVOS!$A$2:$A$53)
   )
)</f>
        <v>#REF!</v>
      </c>
      <c r="N137" s="143"/>
      <c r="O137" s="143"/>
      <c r="P137" s="144"/>
      <c r="Q137" s="169" t="s">
        <v>527</v>
      </c>
      <c r="R137" s="118" t="s">
        <v>38</v>
      </c>
      <c r="S137" s="119"/>
    </row>
    <row r="138" spans="1:19" ht="29.25" customHeight="1">
      <c r="A138" s="139" t="s">
        <v>59</v>
      </c>
      <c r="B138" s="124" t="s">
        <v>528</v>
      </c>
      <c r="C138" s="140" t="s">
        <v>529</v>
      </c>
      <c r="D138" s="156" t="s">
        <v>530</v>
      </c>
      <c r="E138" s="110" t="s">
        <v>143</v>
      </c>
      <c r="F138" s="163" t="s">
        <v>37</v>
      </c>
      <c r="G138" s="142">
        <v>100</v>
      </c>
      <c r="H138" s="289">
        <f>IF(OR(J139="",K138="",K138&lt;J139),0,NETWORKDAYS(J139,K138,fESTIVOS!$A$2:$A$53))</f>
        <v>1</v>
      </c>
      <c r="I138" s="146">
        <v>46079</v>
      </c>
      <c r="J138" s="121">
        <v>46079</v>
      </c>
      <c r="K138" s="121">
        <v>46079</v>
      </c>
      <c r="L138" s="121">
        <v>46079</v>
      </c>
      <c r="M138" s="25" t="e">
        <f ca="1">IF(OR(#REF!="",AND(L138="",TODAY()&lt;#REF!),AND(L138&lt;&gt;"",L138&lt;#REF!)),0,
   IF(L138="",
      NETWORKDAYS(#REF!,TODAY(),fESTIVOS!$A$2:$A$53),
      NETWORKDAYS(#REF!,L138,fESTIVOS!$A$2:$A$53)
   )
)</f>
        <v>#REF!</v>
      </c>
      <c r="N138" s="143"/>
      <c r="O138" s="143"/>
      <c r="P138" s="144"/>
      <c r="Q138" s="169" t="s">
        <v>531</v>
      </c>
      <c r="R138" s="118" t="s">
        <v>38</v>
      </c>
      <c r="S138" s="119"/>
    </row>
    <row r="139" spans="1:19" ht="29.25" customHeight="1">
      <c r="A139" s="148" t="s">
        <v>59</v>
      </c>
      <c r="B139" s="124" t="s">
        <v>532</v>
      </c>
      <c r="C139" s="150" t="s">
        <v>533</v>
      </c>
      <c r="D139" s="157" t="s">
        <v>534</v>
      </c>
      <c r="E139" s="149" t="s">
        <v>62</v>
      </c>
      <c r="F139" s="152" t="s">
        <v>37</v>
      </c>
      <c r="G139" s="135">
        <v>100</v>
      </c>
      <c r="H139" s="289">
        <f>IF(OR(J140="",K139="",K139&lt;J140),0,NETWORKDAYS(J140,K139,fESTIVOS!$A$2:$A$53))</f>
        <v>0</v>
      </c>
      <c r="I139" s="146">
        <v>46079</v>
      </c>
      <c r="J139" s="121">
        <v>46079</v>
      </c>
      <c r="K139" s="121">
        <v>46079</v>
      </c>
      <c r="L139" s="121">
        <v>46079</v>
      </c>
      <c r="M139" s="25">
        <f ca="1">IF(OR(J139="",AND(L139="",TODAY()&lt;J139),AND(L139&lt;&gt;"",L139&lt;J139)),0,
   IF(L139="",
      NETWORKDAYS(J139,TODAY(),fESTIVOS!$A$2:$A$53),
      NETWORKDAYS(J139,L139,fESTIVOS!$A$2:$A$53)
   )
)</f>
        <v>1</v>
      </c>
      <c r="N139" s="115"/>
      <c r="O139" s="115"/>
      <c r="P139" s="116"/>
      <c r="Q139" s="160" t="s">
        <v>535</v>
      </c>
      <c r="R139" s="136" t="s">
        <v>38</v>
      </c>
      <c r="S139" s="153"/>
    </row>
    <row r="140" spans="1:19" ht="29.25" customHeight="1">
      <c r="A140" s="148" t="s">
        <v>59</v>
      </c>
      <c r="B140" s="124" t="s">
        <v>536</v>
      </c>
      <c r="C140" s="150" t="s">
        <v>537</v>
      </c>
      <c r="D140" s="157" t="s">
        <v>538</v>
      </c>
      <c r="E140" s="149" t="s">
        <v>62</v>
      </c>
      <c r="F140" s="152" t="s">
        <v>37</v>
      </c>
      <c r="G140" s="135">
        <v>100</v>
      </c>
      <c r="H140" s="289">
        <f>IF(OR(J141="",K140="",K140&lt;J141),0,NETWORKDAYS(J141,K140,fESTIVOS!$A$2:$A$53))</f>
        <v>1</v>
      </c>
      <c r="I140" s="146">
        <v>46080</v>
      </c>
      <c r="J140" s="121">
        <v>46080</v>
      </c>
      <c r="K140" s="121">
        <v>46080</v>
      </c>
      <c r="L140" s="121">
        <v>46080</v>
      </c>
      <c r="M140" s="25">
        <f ca="1">IF(OR(J140="",AND(L140="",TODAY()&lt;J140),AND(L140&lt;&gt;"",L140&lt;J140)),0,
   IF(L140="",
      NETWORKDAYS(J140,TODAY(),fESTIVOS!$A$2:$A$53),
      NETWORKDAYS(J140,L140,fESTIVOS!$A$2:$A$53)
   )
)</f>
        <v>1</v>
      </c>
      <c r="N140" s="115"/>
      <c r="O140" s="115"/>
      <c r="P140" s="116"/>
      <c r="Q140" s="160" t="s">
        <v>539</v>
      </c>
      <c r="R140" s="136" t="s">
        <v>38</v>
      </c>
      <c r="S140" s="153"/>
    </row>
    <row r="141" spans="1:19" ht="29.25" customHeight="1">
      <c r="A141" s="148" t="s">
        <v>59</v>
      </c>
      <c r="B141" s="124" t="s">
        <v>540</v>
      </c>
      <c r="C141" s="150" t="s">
        <v>541</v>
      </c>
      <c r="D141" s="157" t="s">
        <v>542</v>
      </c>
      <c r="E141" s="149" t="s">
        <v>62</v>
      </c>
      <c r="F141" s="152" t="s">
        <v>37</v>
      </c>
      <c r="G141" s="135">
        <v>100</v>
      </c>
      <c r="H141" s="289">
        <f>IF(OR(J142="",K141="",K141&lt;J142),0,NETWORKDAYS(J142,K141,fESTIVOS!$A$2:$A$53))</f>
        <v>0</v>
      </c>
      <c r="I141" s="146">
        <v>46080</v>
      </c>
      <c r="J141" s="121">
        <v>46080</v>
      </c>
      <c r="K141" s="121">
        <v>46080</v>
      </c>
      <c r="L141" s="121">
        <v>46080</v>
      </c>
      <c r="M141" s="25">
        <f ca="1">IF(OR(J141="",AND(L141="",TODAY()&lt;J141),AND(L141&lt;&gt;"",L141&lt;J141)),0,
   IF(L141="",
      NETWORKDAYS(J141,TODAY(),fESTIVOS!$A$2:$A$53),
      NETWORKDAYS(J141,L141,fESTIVOS!$A$2:$A$53)
   )
)</f>
        <v>1</v>
      </c>
      <c r="N141" s="115"/>
      <c r="O141" s="115"/>
      <c r="P141" s="116"/>
      <c r="Q141" s="160" t="s">
        <v>543</v>
      </c>
      <c r="R141" s="136" t="s">
        <v>38</v>
      </c>
      <c r="S141" s="153"/>
    </row>
    <row r="142" spans="1:19" ht="29.25" customHeight="1">
      <c r="A142" s="139" t="s">
        <v>59</v>
      </c>
      <c r="B142" s="124" t="s">
        <v>544</v>
      </c>
      <c r="C142" s="140" t="s">
        <v>545</v>
      </c>
      <c r="D142" s="156" t="s">
        <v>546</v>
      </c>
      <c r="E142" s="110" t="s">
        <v>143</v>
      </c>
      <c r="F142" s="163" t="s">
        <v>37</v>
      </c>
      <c r="G142" s="142">
        <v>100</v>
      </c>
      <c r="H142" s="289">
        <f>IF(OR(J143="",K142="",K142&lt;J143),0,NETWORKDAYS(J143,K142,fESTIVOS!$A$2:$A$53))</f>
        <v>0</v>
      </c>
      <c r="I142" s="146">
        <v>46083</v>
      </c>
      <c r="J142" s="121">
        <v>46083</v>
      </c>
      <c r="K142" s="121">
        <v>46084</v>
      </c>
      <c r="L142" s="121">
        <v>46084</v>
      </c>
      <c r="M142" s="25" t="e">
        <f ca="1">IF(OR(#REF!="",AND(L142="",TODAY()&lt;#REF!),AND(L142&lt;&gt;"",L142&lt;#REF!)),0,
   IF(L142="",
      NETWORKDAYS(#REF!,TODAY(),fESTIVOS!$A$2:$A$53),
      NETWORKDAYS(#REF!,L142,fESTIVOS!$A$2:$A$53)
   )
)</f>
        <v>#REF!</v>
      </c>
      <c r="N142" s="143"/>
      <c r="O142" s="143"/>
      <c r="P142" s="144"/>
      <c r="Q142" s="169" t="s">
        <v>547</v>
      </c>
      <c r="R142" s="118" t="s">
        <v>38</v>
      </c>
      <c r="S142" s="119"/>
    </row>
    <row r="143" spans="1:19" ht="29.25" customHeight="1">
      <c r="A143" s="139" t="s">
        <v>59</v>
      </c>
      <c r="B143" s="124" t="s">
        <v>548</v>
      </c>
      <c r="C143" s="140" t="s">
        <v>549</v>
      </c>
      <c r="D143" s="156" t="s">
        <v>550</v>
      </c>
      <c r="E143" s="110" t="s">
        <v>143</v>
      </c>
      <c r="F143" s="163" t="s">
        <v>37</v>
      </c>
      <c r="G143" s="142">
        <v>100</v>
      </c>
      <c r="H143" s="289">
        <f>IF(OR(J144="",K143="",K143&lt;J144),0,NETWORKDAYS(J144,K143,fESTIVOS!$A$2:$A$53))</f>
        <v>1</v>
      </c>
      <c r="I143" s="146">
        <v>46085</v>
      </c>
      <c r="J143" s="121">
        <v>46085</v>
      </c>
      <c r="K143" s="121">
        <v>46085</v>
      </c>
      <c r="L143" s="121">
        <v>46085</v>
      </c>
      <c r="M143" s="25" t="e">
        <f ca="1">IF(OR(#REF!="",AND(L143="",TODAY()&lt;#REF!),AND(L143&lt;&gt;"",L143&lt;#REF!)),0,
   IF(L143="",
      NETWORKDAYS(#REF!,TODAY(),fESTIVOS!$A$2:$A$53),
      NETWORKDAYS(#REF!,L143,fESTIVOS!$A$2:$A$53)
   )
)</f>
        <v>#REF!</v>
      </c>
      <c r="N143" s="143"/>
      <c r="O143" s="143"/>
      <c r="P143" s="144"/>
      <c r="Q143" s="169" t="s">
        <v>551</v>
      </c>
      <c r="R143" s="118" t="s">
        <v>38</v>
      </c>
      <c r="S143" s="119"/>
    </row>
    <row r="144" spans="1:19" ht="29.25" customHeight="1">
      <c r="A144" s="139" t="s">
        <v>59</v>
      </c>
      <c r="B144" s="124" t="s">
        <v>552</v>
      </c>
      <c r="C144" s="140" t="s">
        <v>553</v>
      </c>
      <c r="D144" s="156" t="s">
        <v>554</v>
      </c>
      <c r="E144" s="110" t="s">
        <v>143</v>
      </c>
      <c r="F144" s="163" t="s">
        <v>37</v>
      </c>
      <c r="G144" s="142">
        <v>100</v>
      </c>
      <c r="H144" s="289">
        <f>IF(OR(J145="",K144="",K144&lt;J145),0,NETWORKDAYS(J145,K144,fESTIVOS!$A$2:$A$53))</f>
        <v>2</v>
      </c>
      <c r="I144" s="146">
        <v>46085</v>
      </c>
      <c r="J144" s="121">
        <v>46085</v>
      </c>
      <c r="K144" s="121">
        <v>46085</v>
      </c>
      <c r="L144" s="121">
        <v>46085</v>
      </c>
      <c r="M144" s="25" t="e">
        <f ca="1">IF(OR(#REF!="",AND(L144="",TODAY()&lt;#REF!),AND(L144&lt;&gt;"",L144&lt;#REF!)),0,
   IF(L144="",
      NETWORKDAYS(#REF!,TODAY(),fESTIVOS!$A$2:$A$53),
      NETWORKDAYS(#REF!,L144,fESTIVOS!$A$2:$A$53)
   )
)</f>
        <v>#REF!</v>
      </c>
      <c r="N144" s="143"/>
      <c r="O144" s="143"/>
      <c r="P144" s="144"/>
      <c r="Q144" s="169" t="s">
        <v>555</v>
      </c>
      <c r="R144" s="118" t="s">
        <v>38</v>
      </c>
      <c r="S144" s="119"/>
    </row>
    <row r="145" spans="1:19" ht="29.25" customHeight="1">
      <c r="A145" s="148" t="s">
        <v>59</v>
      </c>
      <c r="B145" s="124" t="s">
        <v>556</v>
      </c>
      <c r="C145" s="150" t="s">
        <v>557</v>
      </c>
      <c r="D145" s="157" t="s">
        <v>558</v>
      </c>
      <c r="E145" s="149" t="s">
        <v>62</v>
      </c>
      <c r="F145" s="152" t="s">
        <v>37</v>
      </c>
      <c r="G145" s="135">
        <v>100</v>
      </c>
      <c r="H145" s="289">
        <f>IF(OR(J146="",K145="",K145&lt;J146),0,NETWORKDAYS(J146,K145,fESTIVOS!$A$2:$A$53))</f>
        <v>1</v>
      </c>
      <c r="I145" s="146">
        <v>46084</v>
      </c>
      <c r="J145" s="121">
        <v>46084</v>
      </c>
      <c r="K145" s="121">
        <v>46086</v>
      </c>
      <c r="L145" s="121">
        <v>46086</v>
      </c>
      <c r="M145" s="25">
        <f ca="1">IF(OR(J145="",AND(L145="",TODAY()&lt;J145),AND(L145&lt;&gt;"",L145&lt;J145)),0,
   IF(L145="",
      NETWORKDAYS(J145,TODAY(),fESTIVOS!$A$2:$A$53),
      NETWORKDAYS(J145,L145,fESTIVOS!$A$2:$A$53)
   )
)</f>
        <v>3</v>
      </c>
      <c r="N145" s="115"/>
      <c r="O145" s="115"/>
      <c r="P145" s="116"/>
      <c r="Q145" s="160" t="s">
        <v>559</v>
      </c>
      <c r="R145" s="136" t="s">
        <v>38</v>
      </c>
      <c r="S145" s="153"/>
    </row>
    <row r="146" spans="1:19" ht="29.25" customHeight="1">
      <c r="A146" s="148" t="s">
        <v>59</v>
      </c>
      <c r="B146" s="124" t="s">
        <v>560</v>
      </c>
      <c r="C146" s="150" t="s">
        <v>557</v>
      </c>
      <c r="D146" s="157" t="s">
        <v>561</v>
      </c>
      <c r="E146" s="149" t="s">
        <v>62</v>
      </c>
      <c r="F146" s="152" t="s">
        <v>37</v>
      </c>
      <c r="G146" s="135">
        <v>100</v>
      </c>
      <c r="H146" s="289">
        <f>IF(OR(J147="",K146="",K146&lt;J147),0,NETWORKDAYS(J147,K146,fESTIVOS!$A$2:$A$53))</f>
        <v>0</v>
      </c>
      <c r="I146" s="146">
        <v>46086</v>
      </c>
      <c r="J146" s="121">
        <v>46086</v>
      </c>
      <c r="K146" s="121">
        <v>46086</v>
      </c>
      <c r="L146" s="121">
        <v>46086</v>
      </c>
      <c r="M146" s="25">
        <f ca="1">IF(OR(J146="",AND(L146="",TODAY()&lt;J146),AND(L146&lt;&gt;"",L146&lt;J146)),0,
   IF(L146="",
      NETWORKDAYS(J146,TODAY(),fESTIVOS!$A$2:$A$53),
      NETWORKDAYS(J146,L146,fESTIVOS!$A$2:$A$53)
   )
)</f>
        <v>1</v>
      </c>
      <c r="N146" s="115"/>
      <c r="O146" s="115"/>
      <c r="P146" s="116"/>
      <c r="Q146" s="160" t="s">
        <v>562</v>
      </c>
      <c r="R146" s="136" t="s">
        <v>38</v>
      </c>
      <c r="S146" s="153"/>
    </row>
    <row r="147" spans="1:19" ht="29.25" customHeight="1">
      <c r="A147" s="148" t="s">
        <v>59</v>
      </c>
      <c r="B147" s="124" t="s">
        <v>563</v>
      </c>
      <c r="C147" s="150" t="s">
        <v>557</v>
      </c>
      <c r="D147" s="157" t="s">
        <v>561</v>
      </c>
      <c r="E147" s="149" t="s">
        <v>62</v>
      </c>
      <c r="F147" s="152" t="s">
        <v>37</v>
      </c>
      <c r="G147" s="135">
        <v>100</v>
      </c>
      <c r="H147" s="289">
        <f>IF(OR(J148="",K147="",K147&lt;J148),0,NETWORKDAYS(J148,K147,fESTIVOS!$A$2:$A$53))</f>
        <v>0</v>
      </c>
      <c r="I147" s="146">
        <v>46087</v>
      </c>
      <c r="J147" s="121">
        <v>46087</v>
      </c>
      <c r="K147" s="121">
        <v>46087</v>
      </c>
      <c r="L147" s="121">
        <v>46087</v>
      </c>
      <c r="M147" s="25">
        <f ca="1">IF(OR(J147="",AND(L147="",TODAY()&lt;J147),AND(L147&lt;&gt;"",L147&lt;J147)),0,
   IF(L147="",
      NETWORKDAYS(J147,TODAY(),fESTIVOS!$A$2:$A$53),
      NETWORKDAYS(J147,L147,fESTIVOS!$A$2:$A$53)
   )
)</f>
        <v>1</v>
      </c>
      <c r="N147" s="115"/>
      <c r="O147" s="115"/>
      <c r="P147" s="116"/>
      <c r="Q147" s="160" t="s">
        <v>564</v>
      </c>
      <c r="R147" s="136" t="s">
        <v>38</v>
      </c>
      <c r="S147" s="153"/>
    </row>
    <row r="148" spans="1:19" ht="29.25" customHeight="1">
      <c r="A148" s="148" t="s">
        <v>59</v>
      </c>
      <c r="B148" s="149" t="s">
        <v>565</v>
      </c>
      <c r="C148" s="150" t="s">
        <v>427</v>
      </c>
      <c r="D148" s="170" t="s">
        <v>566</v>
      </c>
      <c r="E148" s="151" t="s">
        <v>143</v>
      </c>
      <c r="F148" s="137" t="s">
        <v>37</v>
      </c>
      <c r="G148" s="138">
        <v>100</v>
      </c>
      <c r="H148" s="289">
        <f>IF(OR(J149="",K148="",K148&lt;J149),0,NETWORKDAYS(J149,K148,fESTIVOS!$A$2:$A$53))</f>
        <v>0</v>
      </c>
      <c r="I148" s="158">
        <v>46090</v>
      </c>
      <c r="J148" s="159">
        <v>46091</v>
      </c>
      <c r="K148" s="159">
        <v>46091</v>
      </c>
      <c r="L148" s="159">
        <v>46091</v>
      </c>
      <c r="M148" s="171" t="e">
        <f ca="1">IF(OR(#REF!="",AND(L148="",TODAY()&lt;#REF!),AND(L148&lt;&gt;"",L148&lt;#REF!)),0,
   IF(L148="",
      NETWORKDAYS(#REF!,TODAY(),fESTIVOS!$A$2:$A$53),
      NETWORKDAYS(#REF!,L148,fESTIVOS!$A$2:$A$53)
   )
)</f>
        <v>#REF!</v>
      </c>
      <c r="N148" s="115"/>
      <c r="O148" s="115"/>
      <c r="P148" s="116"/>
      <c r="Q148" s="172" t="s">
        <v>567</v>
      </c>
      <c r="R148" s="136" t="s">
        <v>38</v>
      </c>
      <c r="S148" s="153"/>
    </row>
    <row r="149" spans="1:19" ht="29.25" customHeight="1">
      <c r="A149" s="148" t="s">
        <v>59</v>
      </c>
      <c r="B149" s="149" t="s">
        <v>568</v>
      </c>
      <c r="C149" s="150" t="s">
        <v>569</v>
      </c>
      <c r="D149" s="170" t="s">
        <v>570</v>
      </c>
      <c r="E149" s="151" t="s">
        <v>143</v>
      </c>
      <c r="F149" s="137" t="s">
        <v>37</v>
      </c>
      <c r="G149" s="138">
        <v>100</v>
      </c>
      <c r="H149" s="289">
        <f>IF(OR(J150="",K149="",K149&lt;J150),0,NETWORKDAYS(J150,K149,fESTIVOS!$A$2:$A$53))</f>
        <v>0</v>
      </c>
      <c r="I149" s="158">
        <v>46092</v>
      </c>
      <c r="J149" s="159">
        <v>46092</v>
      </c>
      <c r="K149" s="159">
        <v>46092</v>
      </c>
      <c r="L149" s="159">
        <v>46092</v>
      </c>
      <c r="M149" s="171" t="e">
        <f ca="1">IF(OR(#REF!="",AND(L149="",TODAY()&lt;#REF!),AND(L149&lt;&gt;"",L149&lt;#REF!)),0,
   IF(L149="",
      NETWORKDAYS(#REF!,TODAY(),fESTIVOS!$A$2:$A$53),
      NETWORKDAYS(#REF!,L149,fESTIVOS!$A$2:$A$53)
   )
)</f>
        <v>#REF!</v>
      </c>
      <c r="N149" s="115"/>
      <c r="O149" s="115"/>
      <c r="P149" s="116"/>
      <c r="Q149" s="172" t="s">
        <v>571</v>
      </c>
      <c r="R149" s="136" t="s">
        <v>38</v>
      </c>
      <c r="S149" s="153"/>
    </row>
    <row r="150" spans="1:19" ht="29.25" customHeight="1">
      <c r="A150" s="148" t="s">
        <v>59</v>
      </c>
      <c r="B150" s="149" t="s">
        <v>572</v>
      </c>
      <c r="C150" s="150" t="s">
        <v>573</v>
      </c>
      <c r="D150" s="170" t="s">
        <v>574</v>
      </c>
      <c r="E150" s="151" t="s">
        <v>143</v>
      </c>
      <c r="F150" s="137" t="s">
        <v>37</v>
      </c>
      <c r="G150" s="138">
        <v>100</v>
      </c>
      <c r="H150" s="289">
        <f>IF(OR(J151="",K150="",K150&lt;J151),0,NETWORKDAYS(J151,K150,fESTIVOS!$A$2:$A$53))</f>
        <v>1</v>
      </c>
      <c r="I150" s="158">
        <v>46093</v>
      </c>
      <c r="J150" s="159">
        <v>46093</v>
      </c>
      <c r="K150" s="159">
        <v>46093</v>
      </c>
      <c r="L150" s="159">
        <v>46093</v>
      </c>
      <c r="M150" s="171" t="e">
        <f ca="1">IF(OR(#REF!="",AND(L150="",TODAY()&lt;#REF!),AND(L150&lt;&gt;"",L150&lt;#REF!)),0,
   IF(L150="",
      NETWORKDAYS(#REF!,TODAY(),fESTIVOS!$A$2:$A$53),
      NETWORKDAYS(#REF!,L150,fESTIVOS!$A$2:$A$53)
   )
)</f>
        <v>#REF!</v>
      </c>
      <c r="N150" s="115"/>
      <c r="O150" s="115"/>
      <c r="P150" s="116"/>
      <c r="Q150" s="172" t="s">
        <v>575</v>
      </c>
      <c r="R150" s="136" t="s">
        <v>38</v>
      </c>
      <c r="S150" s="153"/>
    </row>
    <row r="151" spans="1:19" ht="29.25" customHeight="1">
      <c r="A151" s="148" t="s">
        <v>59</v>
      </c>
      <c r="B151" s="124" t="s">
        <v>576</v>
      </c>
      <c r="C151" s="150" t="s">
        <v>577</v>
      </c>
      <c r="D151" s="157" t="s">
        <v>578</v>
      </c>
      <c r="E151" s="149" t="s">
        <v>62</v>
      </c>
      <c r="F151" s="152" t="s">
        <v>37</v>
      </c>
      <c r="G151" s="135">
        <v>100</v>
      </c>
      <c r="H151" s="289">
        <f>IF(OR(J152="",K151="",K151&lt;J152),0,NETWORKDAYS(J152,K151,fESTIVOS!$A$2:$A$53))</f>
        <v>0</v>
      </c>
      <c r="I151" s="146">
        <v>46093</v>
      </c>
      <c r="J151" s="121">
        <v>46093</v>
      </c>
      <c r="K151" s="121">
        <v>46093</v>
      </c>
      <c r="L151" s="121">
        <v>46093</v>
      </c>
      <c r="M151" s="25">
        <f ca="1">IF(OR(J151="",AND(L151="",TODAY()&lt;J151),AND(L151&lt;&gt;"",L151&lt;J151)),0,
   IF(L151="",
      NETWORKDAYS(J151,TODAY(),fESTIVOS!$A$2:$A$53),
      NETWORKDAYS(J151,L151,fESTIVOS!$A$2:$A$53)
   )
)</f>
        <v>1</v>
      </c>
      <c r="N151" s="115"/>
      <c r="O151" s="115"/>
      <c r="P151" s="116"/>
      <c r="Q151" s="160" t="s">
        <v>579</v>
      </c>
      <c r="R151" s="136" t="s">
        <v>38</v>
      </c>
      <c r="S151" s="153"/>
    </row>
    <row r="152" spans="1:19" ht="29.25" customHeight="1">
      <c r="A152" s="148" t="s">
        <v>59</v>
      </c>
      <c r="B152" s="124" t="s">
        <v>580</v>
      </c>
      <c r="C152" s="150" t="s">
        <v>581</v>
      </c>
      <c r="D152" s="157" t="s">
        <v>582</v>
      </c>
      <c r="E152" s="149" t="s">
        <v>62</v>
      </c>
      <c r="F152" s="152" t="s">
        <v>37</v>
      </c>
      <c r="G152" s="135">
        <v>100</v>
      </c>
      <c r="H152" s="289">
        <f>IF(OR(J153="",K152="",K152&lt;J153),0,NETWORKDAYS(J153,K152,fESTIVOS!$A$2:$A$53))</f>
        <v>2</v>
      </c>
      <c r="I152" s="146">
        <v>46094</v>
      </c>
      <c r="J152" s="121">
        <v>46094</v>
      </c>
      <c r="K152" s="121">
        <v>46094</v>
      </c>
      <c r="L152" s="121">
        <v>46094</v>
      </c>
      <c r="M152" s="25">
        <f ca="1">IF(OR(J152="",AND(L152="",TODAY()&lt;J152),AND(L152&lt;&gt;"",L152&lt;J152)),0,
   IF(L152="",
      NETWORKDAYS(J152,TODAY(),fESTIVOS!$A$2:$A$53),
      NETWORKDAYS(J152,L152,fESTIVOS!$A$2:$A$53)
   )
)</f>
        <v>1</v>
      </c>
      <c r="N152" s="115"/>
      <c r="O152" s="115"/>
      <c r="P152" s="116"/>
      <c r="Q152" s="160" t="s">
        <v>583</v>
      </c>
      <c r="R152" s="136" t="s">
        <v>38</v>
      </c>
      <c r="S152" s="153"/>
    </row>
    <row r="153" spans="1:19" ht="29.25" customHeight="1">
      <c r="A153" s="148" t="s">
        <v>59</v>
      </c>
      <c r="B153" s="149" t="s">
        <v>584</v>
      </c>
      <c r="C153" s="150" t="s">
        <v>585</v>
      </c>
      <c r="D153" s="157" t="s">
        <v>586</v>
      </c>
      <c r="E153" s="149" t="s">
        <v>126</v>
      </c>
      <c r="F153" s="152" t="s">
        <v>37</v>
      </c>
      <c r="G153" s="135">
        <v>100</v>
      </c>
      <c r="H153" s="289">
        <f>IF(OR(J154="",K153="",K153&lt;J154),0,NETWORKDAYS(J154,K153,fESTIVOS!$A$2:$A$53))</f>
        <v>1</v>
      </c>
      <c r="I153" s="158">
        <v>46093</v>
      </c>
      <c r="J153" s="159">
        <v>46093</v>
      </c>
      <c r="K153" s="159">
        <v>46093</v>
      </c>
      <c r="L153" s="159">
        <v>46093</v>
      </c>
      <c r="M153" s="25">
        <f ca="1">IF(OR(J153="",AND(L153="",TODAY()&lt;J153),AND(L153&lt;&gt;"",L153&lt;J153)),0,
   IF(L153="",
      NETWORKDAYS(J153,TODAY(),fESTIVOS!$A$2:$A$53),
      NETWORKDAYS(J153,L153,fESTIVOS!$A$2:$A$53)
   )
)</f>
        <v>1</v>
      </c>
      <c r="N153" s="115"/>
      <c r="O153" s="115"/>
      <c r="P153" s="116"/>
      <c r="Q153" s="160" t="s">
        <v>587</v>
      </c>
      <c r="R153" s="136" t="s">
        <v>38</v>
      </c>
      <c r="S153" s="153"/>
    </row>
    <row r="154" spans="1:19" ht="29.25" customHeight="1">
      <c r="A154" s="148" t="s">
        <v>59</v>
      </c>
      <c r="B154" s="149" t="s">
        <v>588</v>
      </c>
      <c r="C154" s="150" t="s">
        <v>589</v>
      </c>
      <c r="D154" s="157" t="s">
        <v>590</v>
      </c>
      <c r="E154" s="151" t="s">
        <v>143</v>
      </c>
      <c r="F154" s="152" t="s">
        <v>37</v>
      </c>
      <c r="G154" s="135">
        <v>100</v>
      </c>
      <c r="H154" s="289">
        <f>IF(OR(J155="",K154="",K154&lt;J155),0,NETWORKDAYS(J155,K154,fESTIVOS!$A$2:$A$53))</f>
        <v>0</v>
      </c>
      <c r="I154" s="158">
        <v>46093</v>
      </c>
      <c r="J154" s="159">
        <v>46093</v>
      </c>
      <c r="K154" s="159">
        <v>46093</v>
      </c>
      <c r="L154" s="159">
        <v>46093</v>
      </c>
      <c r="M154" s="25">
        <f ca="1">IF(OR(J154="",AND(L154="",TODAY()&lt;J154),AND(L154&lt;&gt;"",L154&lt;J154)),0,
   IF(L154="",
      NETWORKDAYS(J154,TODAY(),fESTIVOS!$A$2:$A$53),
      NETWORKDAYS(J154,L154,fESTIVOS!$A$2:$A$53)
   )
)</f>
        <v>1</v>
      </c>
      <c r="N154" s="115"/>
      <c r="O154" s="115"/>
      <c r="P154" s="116"/>
      <c r="Q154" s="160" t="s">
        <v>591</v>
      </c>
      <c r="R154" s="136" t="s">
        <v>38</v>
      </c>
      <c r="S154" s="153"/>
    </row>
    <row r="155" spans="1:19" ht="29.25" customHeight="1"/>
    <row r="156" spans="1:19" ht="29.25" customHeight="1"/>
    <row r="157" spans="1:19" ht="29.25" customHeight="1"/>
    <row r="158" spans="1:19" ht="29.25" customHeight="1"/>
    <row r="159" spans="1:19" ht="29.25" customHeight="1"/>
    <row r="160" spans="1:19" ht="29.25" customHeight="1"/>
    <row r="161" ht="29.25" customHeight="1"/>
    <row r="162" ht="29.25" customHeight="1"/>
    <row r="163" ht="29.25" customHeight="1"/>
    <row r="164" ht="29.25" customHeight="1"/>
    <row r="165" ht="29.25" customHeight="1"/>
    <row r="166" ht="29.25" customHeight="1"/>
    <row r="167" ht="29.25" customHeight="1"/>
    <row r="168" ht="29.25" customHeight="1"/>
    <row r="169" ht="29.25" customHeight="1"/>
    <row r="170" ht="29.25" customHeight="1"/>
    <row r="171" ht="29.25" customHeight="1"/>
    <row r="172" ht="29.25" customHeight="1"/>
    <row r="173" ht="29.25" customHeight="1"/>
    <row r="174" ht="29.25" customHeight="1"/>
    <row r="175" ht="29.25" customHeight="1"/>
    <row r="176" ht="29.25" customHeight="1"/>
    <row r="177" ht="29.25" customHeight="1"/>
    <row r="178" ht="29.25" customHeight="1"/>
    <row r="179" ht="29.25" customHeight="1"/>
    <row r="180" ht="29.25" customHeight="1"/>
    <row r="181" ht="29.25" customHeight="1"/>
    <row r="182" ht="29.25" customHeight="1"/>
    <row r="183" ht="29.25" customHeight="1"/>
    <row r="184" ht="29.25" customHeight="1"/>
    <row r="185" ht="29.25" customHeight="1"/>
    <row r="186" ht="29.25" customHeight="1"/>
    <row r="187" ht="29.25" customHeight="1"/>
    <row r="188" ht="29.25" customHeight="1"/>
    <row r="189" ht="29.25" customHeight="1"/>
    <row r="190" ht="29.25" customHeight="1"/>
    <row r="191" ht="29.25" customHeight="1"/>
    <row r="192" ht="29.25" customHeight="1"/>
    <row r="193" ht="29.25" customHeight="1"/>
    <row r="194" ht="29.25" customHeight="1"/>
    <row r="195" ht="29.25" customHeight="1"/>
    <row r="196" ht="29.25" customHeight="1"/>
    <row r="197" ht="29.25" customHeight="1"/>
    <row r="198" ht="29.25" customHeight="1"/>
    <row r="199" ht="29.25" customHeight="1"/>
    <row r="200" ht="29.25" customHeight="1"/>
    <row r="201" ht="29.25" customHeight="1"/>
    <row r="202" ht="29.25" customHeight="1"/>
    <row r="203" ht="29.25" customHeight="1"/>
    <row r="204" ht="29.25" customHeight="1"/>
    <row r="205" ht="29.25" customHeight="1"/>
    <row r="206" ht="29.25" customHeight="1"/>
    <row r="207" ht="29.25" customHeight="1"/>
    <row r="208"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row r="1043" ht="29.25" customHeight="1"/>
    <row r="1044" ht="29.25" customHeight="1"/>
    <row r="1045" ht="29.25" customHeight="1"/>
    <row r="1046" ht="29.25" customHeight="1"/>
    <row r="1047" ht="29.25" customHeight="1"/>
    <row r="1048" ht="29.25" customHeight="1"/>
    <row r="1049" ht="29.25" customHeight="1"/>
    <row r="1050" ht="29.25" customHeight="1"/>
    <row r="1051" ht="29.25" customHeight="1"/>
    <row r="1052" ht="29.25" customHeight="1"/>
    <row r="1053" ht="29.25" customHeight="1"/>
    <row r="1054" ht="29.25" customHeight="1"/>
    <row r="1055" ht="29.25" customHeight="1"/>
    <row r="1056" ht="29.25" customHeight="1"/>
    <row r="1057" ht="29.25" customHeight="1"/>
    <row r="1058" ht="29.25" customHeight="1"/>
    <row r="1059" ht="29.25" customHeight="1"/>
    <row r="1060" ht="29.25" customHeight="1"/>
    <row r="1061" ht="29.25" customHeight="1"/>
    <row r="1062" ht="29.25" customHeight="1"/>
    <row r="1063" ht="29.25" customHeight="1"/>
    <row r="1064" ht="29.25" customHeight="1"/>
    <row r="1065" ht="29.25" customHeight="1"/>
    <row r="1066" ht="29.25" customHeight="1"/>
    <row r="1067" ht="29.25" customHeight="1"/>
    <row r="1068" ht="29.25" customHeight="1"/>
    <row r="1069" ht="29.25" customHeight="1"/>
    <row r="1070" ht="29.25" customHeight="1"/>
    <row r="1071" ht="29.25" customHeight="1"/>
    <row r="1072" ht="29.25" customHeight="1"/>
    <row r="1073" ht="29.25" customHeight="1"/>
  </sheetData>
  <conditionalFormatting sqref="B2:B155">
    <cfRule type="expression" dxfId="0" priority="2">
      <formula>COUNTIF($B$2:$B$154,B2)&gt;1</formula>
    </cfRule>
  </conditionalFormatting>
  <dataValidations count="3">
    <dataValidation type="list" allowBlank="1" sqref="F2:F154">
      <formula1>"FINALIZADO,EN PROCESO,PAUSADO,EN TEST,PENDIENTE,PRUEBAS CLIENTE,PENDIENTE CLIENTE,PRUEBAS IMAGINE,PASO A PRODUCCION"</formula1>
    </dataValidation>
    <dataValidation type="custom" allowBlank="1" showDropDown="1" sqref="I2:L154 O2:P154">
      <formula1>OR(NOT(ISERROR(DATEVALUE(I2))), AND(ISNUMBER(I2), LEFT(CELL("format", I2))="D"))</formula1>
    </dataValidation>
    <dataValidation allowBlank="1" showDropDown="1" sqref="R2:R154"/>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3" t="s">
        <v>592</v>
      </c>
      <c r="B1" s="173" t="s">
        <v>2</v>
      </c>
      <c r="C1" s="173" t="s">
        <v>3</v>
      </c>
      <c r="D1" s="173" t="s">
        <v>4</v>
      </c>
      <c r="E1" s="174" t="s">
        <v>6</v>
      </c>
      <c r="F1" s="174" t="s">
        <v>7</v>
      </c>
      <c r="G1" s="175" t="s">
        <v>593</v>
      </c>
      <c r="H1" s="174" t="s">
        <v>9</v>
      </c>
      <c r="I1" s="174" t="s">
        <v>594</v>
      </c>
      <c r="J1" s="176" t="s">
        <v>12</v>
      </c>
      <c r="K1" s="173" t="s">
        <v>13</v>
      </c>
      <c r="L1" s="177" t="s">
        <v>595</v>
      </c>
      <c r="M1" s="178"/>
      <c r="N1" s="178"/>
      <c r="O1" s="178"/>
      <c r="P1" s="178"/>
      <c r="Q1" s="178"/>
      <c r="R1" s="178"/>
      <c r="S1" s="178"/>
      <c r="T1" s="178"/>
      <c r="U1" s="178"/>
      <c r="V1" s="178"/>
      <c r="W1" s="178"/>
      <c r="X1" s="178"/>
      <c r="Y1" s="178"/>
      <c r="Z1" s="178"/>
    </row>
    <row r="2" spans="1:26" ht="30">
      <c r="A2" s="179" t="s">
        <v>596</v>
      </c>
      <c r="B2" s="180" t="s">
        <v>597</v>
      </c>
      <c r="C2" s="181"/>
      <c r="D2" s="182" t="s">
        <v>598</v>
      </c>
      <c r="E2" s="183">
        <v>45526</v>
      </c>
      <c r="F2" s="183">
        <v>45526</v>
      </c>
      <c r="G2" s="181"/>
      <c r="H2" s="181"/>
      <c r="I2" s="181"/>
      <c r="J2" s="181"/>
      <c r="K2" s="181"/>
      <c r="L2" s="181" t="s">
        <v>599</v>
      </c>
      <c r="M2" s="184"/>
      <c r="N2" s="184"/>
      <c r="O2" s="184"/>
      <c r="P2" s="184"/>
      <c r="Q2" s="184"/>
      <c r="R2" s="184"/>
      <c r="S2" s="184"/>
      <c r="T2" s="184"/>
      <c r="U2" s="184"/>
      <c r="V2" s="184"/>
      <c r="W2" s="184"/>
      <c r="X2" s="184"/>
      <c r="Y2" s="184"/>
      <c r="Z2" s="184"/>
    </row>
    <row r="3" spans="1:26" ht="28.5">
      <c r="A3" s="185" t="s">
        <v>596</v>
      </c>
      <c r="B3" s="186" t="s">
        <v>600</v>
      </c>
      <c r="C3" s="187" t="s">
        <v>601</v>
      </c>
      <c r="D3" s="187" t="s">
        <v>37</v>
      </c>
      <c r="E3" s="188">
        <v>45560</v>
      </c>
      <c r="F3" s="188">
        <v>45560</v>
      </c>
      <c r="G3" s="189"/>
      <c r="H3" s="188">
        <v>45567</v>
      </c>
      <c r="I3" s="190">
        <f ca="1">IF(ISBLANK(H3), NETWORKDAYS(F3, TODAY(),fESTIVOS!$A$1:$A$18), NETWORKDAYS(F3, H3, fESTIVOS!$A$1:$A$18))</f>
        <v>6</v>
      </c>
      <c r="J3" s="188">
        <v>45567</v>
      </c>
      <c r="K3" s="189"/>
      <c r="L3" s="191" t="s">
        <v>602</v>
      </c>
      <c r="M3" s="178"/>
      <c r="N3" s="178"/>
      <c r="O3" s="178"/>
      <c r="P3" s="178"/>
      <c r="Q3" s="178"/>
      <c r="R3" s="178"/>
      <c r="S3" s="178"/>
      <c r="T3" s="178"/>
      <c r="U3" s="178"/>
      <c r="V3" s="178"/>
      <c r="W3" s="178"/>
      <c r="X3" s="178"/>
      <c r="Y3" s="178"/>
      <c r="Z3" s="178"/>
    </row>
    <row r="4" spans="1:26" ht="186">
      <c r="A4" s="192" t="s">
        <v>603</v>
      </c>
      <c r="B4" s="193" t="s">
        <v>604</v>
      </c>
      <c r="C4" s="194" t="s">
        <v>605</v>
      </c>
      <c r="D4" s="195" t="s">
        <v>606</v>
      </c>
      <c r="E4" s="196">
        <v>45581</v>
      </c>
      <c r="F4" s="196">
        <v>45581</v>
      </c>
      <c r="G4" s="196">
        <v>45582</v>
      </c>
      <c r="H4" s="197">
        <v>45590</v>
      </c>
      <c r="I4" s="198">
        <f ca="1">IF(ISBLANK(H4), NETWORKDAYS(F4, TODAY(),fESTIVOS!$A$1:$A$18), NETWORKDAYS(F4, H4, fESTIVOS!$A$1:$A$18))</f>
        <v>8</v>
      </c>
      <c r="J4" s="197">
        <v>45590</v>
      </c>
      <c r="K4" s="196"/>
      <c r="L4" s="192" t="s">
        <v>607</v>
      </c>
      <c r="M4" s="199"/>
      <c r="N4" s="199"/>
      <c r="O4" s="199"/>
      <c r="P4" s="199"/>
      <c r="Q4" s="199"/>
      <c r="R4" s="199"/>
      <c r="S4" s="199"/>
      <c r="T4" s="199"/>
      <c r="U4" s="199"/>
      <c r="V4" s="199"/>
      <c r="W4" s="199"/>
      <c r="X4" s="199"/>
      <c r="Y4" s="199"/>
      <c r="Z4" s="199"/>
    </row>
    <row r="5" spans="1:26" ht="30">
      <c r="A5" s="177" t="s">
        <v>596</v>
      </c>
      <c r="B5" s="193" t="s">
        <v>608</v>
      </c>
      <c r="C5" s="187" t="s">
        <v>609</v>
      </c>
      <c r="D5" s="200" t="s">
        <v>46</v>
      </c>
      <c r="E5" s="188">
        <v>45572</v>
      </c>
      <c r="F5" s="188">
        <v>45590</v>
      </c>
      <c r="G5" s="188"/>
      <c r="H5" s="188">
        <v>45594</v>
      </c>
      <c r="I5" s="190">
        <f ca="1">IF(ISBLANK(H5), NETWORKDAYS(F5, TODAY(),fESTIVOS!$A$1:$A$18), NETWORKDAYS(F5, H5, fESTIVOS!$A$1:$A$18))</f>
        <v>3</v>
      </c>
      <c r="J5" s="188">
        <v>45594</v>
      </c>
      <c r="K5" s="188"/>
      <c r="L5" s="191" t="s">
        <v>610</v>
      </c>
      <c r="M5" s="178"/>
      <c r="N5" s="178"/>
      <c r="O5" s="178"/>
      <c r="P5" s="178"/>
      <c r="Q5" s="178"/>
      <c r="R5" s="178"/>
      <c r="S5" s="178"/>
      <c r="T5" s="178"/>
      <c r="U5" s="178"/>
      <c r="V5" s="178"/>
      <c r="W5" s="178"/>
      <c r="X5" s="178"/>
      <c r="Y5" s="178"/>
      <c r="Z5" s="178"/>
    </row>
    <row r="6" spans="1:26" ht="117">
      <c r="A6" s="201" t="s">
        <v>611</v>
      </c>
      <c r="B6" s="201" t="s">
        <v>612</v>
      </c>
      <c r="C6" s="195" t="s">
        <v>613</v>
      </c>
      <c r="D6" s="201" t="s">
        <v>614</v>
      </c>
      <c r="E6" s="202">
        <v>45602</v>
      </c>
      <c r="F6" s="202">
        <v>45602</v>
      </c>
      <c r="G6" s="201"/>
      <c r="H6" s="202">
        <v>45602</v>
      </c>
      <c r="I6" s="198">
        <f ca="1">IF(ISBLANK(H6), NETWORKDAYS(F6, TODAY(),fESTIVOS!$A$1:$A$18), NETWORKDAYS(F6, H6, fESTIVOS!$A$1:$A$18))</f>
        <v>1</v>
      </c>
      <c r="J6" s="202"/>
      <c r="K6" s="202">
        <v>45602</v>
      </c>
      <c r="L6" s="203" t="s">
        <v>615</v>
      </c>
      <c r="M6" s="204"/>
      <c r="N6" s="205"/>
      <c r="O6" s="205"/>
      <c r="P6" s="205"/>
      <c r="Q6" s="205"/>
      <c r="R6" s="205"/>
      <c r="S6" s="205"/>
      <c r="T6" s="205"/>
      <c r="U6" s="205"/>
      <c r="V6" s="205"/>
      <c r="W6" s="205"/>
      <c r="X6" s="205"/>
      <c r="Y6" s="205"/>
      <c r="Z6" s="205"/>
    </row>
    <row r="7" spans="1:26" ht="99.75">
      <c r="A7" s="177" t="s">
        <v>596</v>
      </c>
      <c r="B7" s="186" t="s">
        <v>600</v>
      </c>
      <c r="C7" s="206" t="s">
        <v>616</v>
      </c>
      <c r="D7" s="200" t="s">
        <v>46</v>
      </c>
      <c r="E7" s="188">
        <v>45589</v>
      </c>
      <c r="F7" s="188">
        <v>45589</v>
      </c>
      <c r="G7" s="200"/>
      <c r="H7" s="207">
        <v>45603</v>
      </c>
      <c r="I7" s="190">
        <f ca="1">IF(ISBLANK(H7), NETWORKDAYS(F7, TODAY(),fESTIVOS!$A$1:$A$18), NETWORKDAYS(F7, H7, fESTIVOS!$A$1:$A$18))</f>
        <v>10</v>
      </c>
      <c r="J7" s="207">
        <v>45603</v>
      </c>
      <c r="K7" s="200"/>
      <c r="L7" s="208" t="s">
        <v>617</v>
      </c>
      <c r="M7" s="209"/>
      <c r="N7" s="209"/>
      <c r="O7" s="209"/>
      <c r="P7" s="209"/>
      <c r="Q7" s="209"/>
      <c r="R7" s="209"/>
      <c r="S7" s="209"/>
      <c r="T7" s="209"/>
      <c r="U7" s="209"/>
      <c r="V7" s="209"/>
      <c r="W7" s="209"/>
      <c r="X7" s="209"/>
      <c r="Y7" s="209"/>
      <c r="Z7" s="209"/>
    </row>
    <row r="8" spans="1:26" ht="71.25">
      <c r="A8" s="210" t="s">
        <v>596</v>
      </c>
      <c r="B8" s="211" t="s">
        <v>618</v>
      </c>
      <c r="C8" s="212"/>
      <c r="D8" s="212" t="s">
        <v>619</v>
      </c>
      <c r="E8" s="213">
        <v>45603</v>
      </c>
      <c r="F8" s="213">
        <v>45603</v>
      </c>
      <c r="G8" s="213"/>
      <c r="H8" s="213">
        <v>45610</v>
      </c>
      <c r="I8" s="214">
        <f ca="1">IF(ISBLANK(H8), NETWORKDAYS(F8, TODAY(),fESTIVOS!$A$1:$A$18), NETWORKDAYS(F8, H8, fESTIVOS!$A$1:$A$18))</f>
        <v>5</v>
      </c>
      <c r="J8" s="213">
        <v>45610</v>
      </c>
      <c r="K8" s="213"/>
      <c r="L8" s="215" t="s">
        <v>620</v>
      </c>
      <c r="M8" s="178"/>
      <c r="N8" s="178"/>
      <c r="O8" s="178"/>
      <c r="P8" s="178"/>
      <c r="Q8" s="178"/>
      <c r="R8" s="178"/>
      <c r="S8" s="178"/>
      <c r="T8" s="178"/>
      <c r="U8" s="178"/>
      <c r="V8" s="178"/>
      <c r="W8" s="178"/>
      <c r="X8" s="178"/>
      <c r="Y8" s="178"/>
      <c r="Z8" s="178"/>
    </row>
    <row r="9" spans="1:26" ht="42.75">
      <c r="A9" s="216" t="s">
        <v>621</v>
      </c>
      <c r="B9" s="217" t="s">
        <v>622</v>
      </c>
      <c r="C9" s="218" t="s">
        <v>623</v>
      </c>
      <c r="D9" s="219" t="s">
        <v>624</v>
      </c>
      <c r="E9" s="220">
        <v>45671</v>
      </c>
      <c r="F9" s="221">
        <v>45673</v>
      </c>
      <c r="G9" s="218" t="s">
        <v>625</v>
      </c>
      <c r="H9" s="220">
        <v>45680</v>
      </c>
      <c r="I9" s="198">
        <f ca="1">IF(ISBLANK(H9), NETWORKDAYS(F9, TODAY(),fESTIVOS!$A$1:$A$18), NETWORKDAYS(F9, H9, fESTIVOS!$A$1:$A$18))</f>
        <v>6</v>
      </c>
      <c r="J9" s="220">
        <v>45680</v>
      </c>
      <c r="K9" s="218"/>
      <c r="L9" s="222" t="s">
        <v>626</v>
      </c>
      <c r="M9" s="223"/>
      <c r="N9" s="223"/>
      <c r="O9" s="223"/>
      <c r="P9" s="223"/>
      <c r="Q9" s="223"/>
      <c r="R9" s="223"/>
      <c r="S9" s="223"/>
      <c r="T9" s="223"/>
      <c r="U9" s="223"/>
      <c r="V9" s="223"/>
      <c r="W9" s="223"/>
      <c r="X9" s="223"/>
      <c r="Y9" s="223"/>
      <c r="Z9" s="223"/>
    </row>
    <row r="10" spans="1:26" ht="57">
      <c r="A10" s="216" t="s">
        <v>621</v>
      </c>
      <c r="B10" s="224"/>
      <c r="C10" s="222" t="s">
        <v>627</v>
      </c>
      <c r="D10" s="219" t="s">
        <v>624</v>
      </c>
      <c r="E10" s="220">
        <v>45671</v>
      </c>
      <c r="F10" s="221">
        <v>45673</v>
      </c>
      <c r="G10" s="218"/>
      <c r="H10" s="220">
        <v>45674</v>
      </c>
      <c r="I10" s="198">
        <f ca="1">IF(ISBLANK(H10), NETWORKDAYS(F10, TODAY(),fESTIVOS!$A$1:$A$18), NETWORKDAYS(F10, H10, fESTIVOS!$A$1:$A$18))</f>
        <v>2</v>
      </c>
      <c r="J10" s="218"/>
      <c r="K10" s="218"/>
      <c r="L10" s="222" t="s">
        <v>628</v>
      </c>
      <c r="M10" s="223"/>
      <c r="N10" s="223"/>
      <c r="O10" s="223"/>
      <c r="P10" s="223"/>
      <c r="Q10" s="223"/>
      <c r="R10" s="223"/>
      <c r="S10" s="223"/>
      <c r="T10" s="223"/>
      <c r="U10" s="223"/>
      <c r="V10" s="223"/>
      <c r="W10" s="223"/>
      <c r="X10" s="223"/>
      <c r="Y10" s="223"/>
      <c r="Z10" s="223"/>
    </row>
    <row r="11" spans="1:26" ht="42.75">
      <c r="A11" s="216" t="s">
        <v>621</v>
      </c>
      <c r="B11" s="224"/>
      <c r="C11" s="222" t="s">
        <v>629</v>
      </c>
      <c r="D11" s="219" t="s">
        <v>624</v>
      </c>
      <c r="E11" s="220">
        <v>45671</v>
      </c>
      <c r="F11" s="221">
        <v>45673</v>
      </c>
      <c r="G11" s="218"/>
      <c r="H11" s="220">
        <v>45674</v>
      </c>
      <c r="I11" s="198">
        <f ca="1">IF(ISBLANK(H11), NETWORKDAYS(F11, TODAY(),fESTIVOS!$A$1:$A$18), NETWORKDAYS(F11, H11, fESTIVOS!$A$1:$A$18))</f>
        <v>2</v>
      </c>
      <c r="J11" s="218"/>
      <c r="K11" s="218"/>
      <c r="L11" s="222" t="s">
        <v>628</v>
      </c>
      <c r="M11" s="223"/>
      <c r="N11" s="223"/>
      <c r="O11" s="223"/>
      <c r="P11" s="223"/>
      <c r="Q11" s="223"/>
      <c r="R11" s="223"/>
      <c r="S11" s="223"/>
      <c r="T11" s="223"/>
      <c r="U11" s="223"/>
      <c r="V11" s="223"/>
      <c r="W11" s="223"/>
      <c r="X11" s="223"/>
      <c r="Y11" s="223"/>
      <c r="Z11" s="223"/>
    </row>
    <row r="12" spans="1:26" ht="42.75">
      <c r="A12" s="216" t="s">
        <v>621</v>
      </c>
      <c r="B12" s="224"/>
      <c r="C12" s="222" t="s">
        <v>630</v>
      </c>
      <c r="D12" s="219" t="s">
        <v>624</v>
      </c>
      <c r="E12" s="220">
        <v>45671</v>
      </c>
      <c r="F12" s="221">
        <v>45673</v>
      </c>
      <c r="G12" s="218"/>
      <c r="H12" s="220">
        <v>45674</v>
      </c>
      <c r="I12" s="198">
        <f ca="1">IF(ISBLANK(H12), NETWORKDAYS(F12, TODAY(),fESTIVOS!$A$1:$A$18), NETWORKDAYS(F12, H12, fESTIVOS!$A$1:$A$18))</f>
        <v>2</v>
      </c>
      <c r="J12" s="218"/>
      <c r="K12" s="218"/>
      <c r="L12" s="222" t="s">
        <v>628</v>
      </c>
      <c r="M12" s="223"/>
      <c r="N12" s="223"/>
      <c r="O12" s="223"/>
      <c r="P12" s="223"/>
      <c r="Q12" s="223"/>
      <c r="R12" s="223"/>
      <c r="S12" s="223"/>
      <c r="T12" s="223"/>
      <c r="U12" s="223"/>
      <c r="V12" s="223"/>
      <c r="W12" s="223"/>
      <c r="X12" s="223"/>
      <c r="Y12" s="223"/>
      <c r="Z12" s="223"/>
    </row>
    <row r="13" spans="1:26" ht="42.75">
      <c r="A13" s="216" t="s">
        <v>621</v>
      </c>
      <c r="B13" s="224"/>
      <c r="C13" s="222" t="s">
        <v>631</v>
      </c>
      <c r="D13" s="219" t="s">
        <v>624</v>
      </c>
      <c r="E13" s="220">
        <v>45671</v>
      </c>
      <c r="F13" s="221">
        <v>45673</v>
      </c>
      <c r="G13" s="218"/>
      <c r="H13" s="220">
        <v>45677</v>
      </c>
      <c r="I13" s="198">
        <f ca="1">IF(ISBLANK(H13), NETWORKDAYS(F13, TODAY(),fESTIVOS!$A$1:$A$18), NETWORKDAYS(F13, H13, fESTIVOS!$A$1:$A$18))</f>
        <v>3</v>
      </c>
      <c r="J13" s="218"/>
      <c r="K13" s="218"/>
      <c r="L13" s="222" t="s">
        <v>628</v>
      </c>
      <c r="M13" s="223"/>
      <c r="N13" s="223"/>
      <c r="O13" s="223"/>
      <c r="P13" s="223"/>
      <c r="Q13" s="223"/>
      <c r="R13" s="223"/>
      <c r="S13" s="223"/>
      <c r="T13" s="223"/>
      <c r="U13" s="223"/>
      <c r="V13" s="223"/>
      <c r="W13" s="223"/>
      <c r="X13" s="223"/>
      <c r="Y13" s="223"/>
      <c r="Z13" s="223"/>
    </row>
    <row r="14" spans="1:26" ht="42.75">
      <c r="A14" s="216" t="s">
        <v>621</v>
      </c>
      <c r="B14" s="224"/>
      <c r="C14" s="222" t="s">
        <v>632</v>
      </c>
      <c r="D14" s="219" t="s">
        <v>624</v>
      </c>
      <c r="E14" s="220">
        <v>45671</v>
      </c>
      <c r="F14" s="221">
        <v>45678</v>
      </c>
      <c r="G14" s="218"/>
      <c r="H14" s="221">
        <v>45678</v>
      </c>
      <c r="I14" s="198">
        <f ca="1">IF(ISBLANK(H14), NETWORKDAYS(F14, TODAY(),fESTIVOS!$A$1:$A$18), NETWORKDAYS(F14, H14, fESTIVOS!$A$1:$A$18))</f>
        <v>1</v>
      </c>
      <c r="J14" s="218"/>
      <c r="K14" s="218"/>
      <c r="L14" s="218" t="s">
        <v>633</v>
      </c>
      <c r="M14" s="223"/>
      <c r="N14" s="223"/>
      <c r="O14" s="223"/>
      <c r="P14" s="223"/>
      <c r="Q14" s="223"/>
      <c r="R14" s="223"/>
      <c r="S14" s="223"/>
      <c r="T14" s="223"/>
      <c r="U14" s="223"/>
      <c r="V14" s="223"/>
      <c r="W14" s="223"/>
      <c r="X14" s="223"/>
      <c r="Y14" s="223"/>
      <c r="Z14" s="223"/>
    </row>
    <row r="15" spans="1:26" ht="42.75">
      <c r="A15" s="216" t="s">
        <v>621</v>
      </c>
      <c r="B15" s="224"/>
      <c r="C15" s="222" t="s">
        <v>634</v>
      </c>
      <c r="D15" s="219" t="s">
        <v>624</v>
      </c>
      <c r="E15" s="220">
        <v>45671</v>
      </c>
      <c r="F15" s="221">
        <v>45679</v>
      </c>
      <c r="G15" s="218"/>
      <c r="H15" s="221">
        <v>45679</v>
      </c>
      <c r="I15" s="198">
        <f ca="1">IF(ISBLANK(H15), NETWORKDAYS(F15, TODAY(),fESTIVOS!$A$1:$A$18), NETWORKDAYS(F15, H15, fESTIVOS!$A$1:$A$18))</f>
        <v>1</v>
      </c>
      <c r="J15" s="218"/>
      <c r="K15" s="218"/>
      <c r="L15" s="218" t="s">
        <v>633</v>
      </c>
      <c r="M15" s="223"/>
      <c r="N15" s="223"/>
      <c r="O15" s="223"/>
      <c r="P15" s="223"/>
      <c r="Q15" s="223"/>
      <c r="R15" s="223"/>
      <c r="S15" s="223"/>
      <c r="T15" s="223"/>
      <c r="U15" s="223"/>
      <c r="V15" s="223"/>
      <c r="W15" s="223"/>
      <c r="X15" s="223"/>
      <c r="Y15" s="223"/>
      <c r="Z15" s="223"/>
    </row>
    <row r="16" spans="1:26" ht="71.25">
      <c r="A16" s="216" t="s">
        <v>621</v>
      </c>
      <c r="B16" s="225"/>
      <c r="C16" s="226" t="s">
        <v>635</v>
      </c>
      <c r="D16" s="219" t="s">
        <v>624</v>
      </c>
      <c r="E16" s="220">
        <v>45681</v>
      </c>
      <c r="F16" s="221">
        <v>45684</v>
      </c>
      <c r="G16" s="218"/>
      <c r="H16" s="220">
        <v>45685</v>
      </c>
      <c r="I16" s="198">
        <f ca="1">IF(ISBLANK(H16), NETWORKDAYS(F16, TODAY(),fESTIVOS!$A$1:$A$18), NETWORKDAYS(F16, H16, fESTIVOS!$A$1:$A$18))</f>
        <v>2</v>
      </c>
      <c r="J16" s="218"/>
      <c r="K16" s="218"/>
      <c r="L16" s="222" t="s">
        <v>636</v>
      </c>
      <c r="M16" s="223"/>
      <c r="N16" s="223"/>
      <c r="O16" s="223"/>
      <c r="P16" s="223"/>
      <c r="Q16" s="223"/>
      <c r="R16" s="223"/>
      <c r="S16" s="223"/>
      <c r="T16" s="223"/>
      <c r="U16" s="223"/>
      <c r="V16" s="223"/>
      <c r="W16" s="223"/>
      <c r="X16" s="223"/>
      <c r="Y16" s="223"/>
      <c r="Z16" s="223"/>
    </row>
    <row r="17" spans="1:26" ht="15.75" customHeight="1">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row>
    <row r="18" spans="1:26" ht="15.75" customHeight="1">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row>
    <row r="19" spans="1:26" ht="15.75" customHeight="1">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row>
    <row r="20" spans="1:26" ht="15.75" customHeight="1">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row>
    <row r="21" spans="1:26" ht="15.75" customHeight="1">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row>
    <row r="22" spans="1:26" ht="15.75" customHeight="1">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row>
    <row r="23" spans="1:26" ht="15.75" customHeight="1">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row>
    <row r="24" spans="1:26" ht="15.75" customHeight="1">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row>
    <row r="25" spans="1:26" ht="15.75" customHeight="1">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row>
    <row r="26" spans="1:26" ht="15.75" customHeight="1">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row>
    <row r="27" spans="1:26" ht="15.75" customHeight="1">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row>
    <row r="28" spans="1:26" ht="15.75" customHeight="1">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spans="1:26" ht="15.75" customHeight="1">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spans="1:26" ht="15.75" customHeight="1">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spans="1:26" ht="15.75" customHeight="1">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spans="1:26" ht="15.75" customHeight="1">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spans="1:26" ht="15.75" customHeight="1">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spans="1:26" ht="15.75" customHeight="1">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spans="1:26"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spans="1:2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spans="1:26"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spans="1:26"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spans="1:26"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spans="1:26"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spans="1:26"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spans="1:26"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spans="1:26"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spans="1:26"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spans="1:26"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spans="1:2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spans="1:26"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spans="1:26"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spans="1:26"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spans="1:26"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spans="1:26"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spans="1:26"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spans="1:26"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spans="1:26"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spans="1:26"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spans="1:2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spans="1:26"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spans="1:26"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spans="1:26"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spans="1:26"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spans="1:26"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spans="1:26"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spans="1:26"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spans="1:26"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spans="1:26"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spans="1:2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spans="1:26"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spans="1:26"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spans="1:26"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spans="1:26"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spans="1:26"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spans="1:26"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spans="1:26"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spans="1:26"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spans="1:26"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spans="1:2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spans="1:26"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spans="1:26"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spans="1:26"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spans="1:26"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spans="1:26"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spans="1:26"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spans="1:26"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spans="1:26"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spans="1:26"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spans="1:2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spans="1:26"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spans="1:26"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spans="1:26"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spans="1:26"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spans="1:26"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spans="1:26"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spans="1:26"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spans="1:26"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spans="1:26"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spans="1:2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spans="1:26"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spans="1:26"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spans="1:26"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spans="1:26"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spans="1:26"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spans="1:26"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spans="1:26"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spans="1:26"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spans="1:26"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spans="1:2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spans="1:26"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spans="1:26"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spans="1:26"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spans="1:26"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spans="1:26"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spans="1:26"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spans="1:26"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spans="1:26"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spans="1:26"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spans="1:2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spans="1:26"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spans="1:26"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spans="1:26"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spans="1:26"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spans="1:26"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spans="1:26"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spans="1:26"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spans="1:26"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spans="1:26"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spans="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spans="1:26"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spans="1:26"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spans="1:26"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spans="1:26"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spans="1:26"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spans="1:26"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spans="1:26"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spans="1:26"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spans="1:26"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spans="1:2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spans="1:26"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spans="1:26"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spans="1:26"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spans="1:26"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spans="1:26"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spans="1:26"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spans="1:26"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spans="1:26"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spans="1:26"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spans="1:2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spans="1:26"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spans="1:26"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spans="1:26"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spans="1:26"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spans="1:26"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spans="1:26"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spans="1:26"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spans="1:26"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spans="1:26"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spans="1:2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spans="1:26"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spans="1:26"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spans="1:26"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spans="1:26"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spans="1:26"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spans="1:26"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spans="1:26"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spans="1:26"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spans="1:26"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spans="1:2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spans="1:26"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spans="1:26"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spans="1:26"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spans="1:26"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spans="1:26"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spans="1:26"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spans="1:26"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spans="1:26"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spans="1:26"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spans="1:2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spans="1:26"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spans="1:26"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spans="1:26"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spans="1:26"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spans="1:26"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spans="1:26"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spans="1:26"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spans="1:26"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spans="1:26"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spans="1:2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spans="1:26"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spans="1:26"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spans="1:26"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spans="1:26"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spans="1:26"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spans="1:26"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spans="1:26"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spans="1:26"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spans="1:26"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spans="1:2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spans="1:26"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spans="1:26"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spans="1:26"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spans="1:26"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spans="1:26"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spans="1:26"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spans="1:26"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spans="1:26"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spans="1:26"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spans="1:2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spans="1:26"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spans="1:26"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spans="1:26"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spans="1:26"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spans="1:26"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spans="1:26"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spans="1:26"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spans="1:26"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spans="1:26"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spans="1:2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spans="1:26"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spans="1:26"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spans="1:26"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spans="1:26"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227" t="s">
        <v>0</v>
      </c>
      <c r="B1" s="228" t="s">
        <v>1</v>
      </c>
      <c r="C1" s="229" t="s">
        <v>2</v>
      </c>
      <c r="D1" s="230" t="s">
        <v>4</v>
      </c>
      <c r="E1" s="4" t="s">
        <v>56</v>
      </c>
      <c r="F1" s="5" t="s">
        <v>637</v>
      </c>
      <c r="G1" s="6" t="s">
        <v>6</v>
      </c>
      <c r="H1" s="6" t="s">
        <v>7</v>
      </c>
      <c r="I1" s="7" t="s">
        <v>593</v>
      </c>
      <c r="J1" s="7" t="s">
        <v>9</v>
      </c>
      <c r="K1" s="6" t="s">
        <v>594</v>
      </c>
      <c r="L1" s="4" t="s">
        <v>15</v>
      </c>
      <c r="M1" s="6" t="s">
        <v>12</v>
      </c>
      <c r="N1" s="4" t="s">
        <v>16</v>
      </c>
      <c r="O1" s="6" t="s">
        <v>13</v>
      </c>
      <c r="P1" s="8" t="s">
        <v>14</v>
      </c>
      <c r="Q1" s="9" t="s">
        <v>638</v>
      </c>
      <c r="R1" s="9" t="s">
        <v>639</v>
      </c>
      <c r="S1" s="9" t="s">
        <v>17</v>
      </c>
      <c r="T1" s="9" t="s">
        <v>18</v>
      </c>
      <c r="U1" s="9" t="s">
        <v>19</v>
      </c>
      <c r="V1" s="9" t="s">
        <v>20</v>
      </c>
      <c r="W1" s="9" t="s">
        <v>21</v>
      </c>
      <c r="X1" s="231" t="s">
        <v>22</v>
      </c>
      <c r="Y1" s="231" t="s">
        <v>23</v>
      </c>
      <c r="Z1" s="231" t="s">
        <v>24</v>
      </c>
      <c r="AA1" s="231" t="s">
        <v>25</v>
      </c>
      <c r="AB1" s="231" t="s">
        <v>26</v>
      </c>
      <c r="AC1" s="231" t="s">
        <v>27</v>
      </c>
      <c r="AD1" s="231" t="s">
        <v>28</v>
      </c>
      <c r="AE1" s="231" t="s">
        <v>29</v>
      </c>
      <c r="AF1" s="231" t="s">
        <v>30</v>
      </c>
      <c r="AG1" s="231" t="s">
        <v>31</v>
      </c>
      <c r="AH1" s="231" t="s">
        <v>32</v>
      </c>
      <c r="AI1" s="231" t="s">
        <v>33</v>
      </c>
      <c r="AJ1" s="9" t="s">
        <v>34</v>
      </c>
      <c r="AK1" s="9" t="s">
        <v>35</v>
      </c>
      <c r="AL1" s="9" t="s">
        <v>36</v>
      </c>
      <c r="AM1" s="9" t="s">
        <v>640</v>
      </c>
      <c r="AN1" s="9" t="s">
        <v>641</v>
      </c>
    </row>
    <row r="2" spans="1:40" ht="22.5" customHeight="1">
      <c r="A2" s="232" t="s">
        <v>611</v>
      </c>
      <c r="B2" s="233" t="s">
        <v>49</v>
      </c>
      <c r="C2" s="51" t="s">
        <v>50</v>
      </c>
      <c r="D2" s="52" t="s">
        <v>37</v>
      </c>
      <c r="E2" s="20"/>
      <c r="F2" s="234"/>
      <c r="G2" s="14">
        <v>45751</v>
      </c>
      <c r="H2" s="15">
        <v>45756</v>
      </c>
      <c r="I2" s="30">
        <v>45760</v>
      </c>
      <c r="J2" s="17">
        <v>45759</v>
      </c>
      <c r="K2" s="25">
        <f ca="1">IF(ISBLANK(J2), NETWORKDAYS(H2, TODAY(),fESTIVOS!$A$1:$A$18), NETWORKDAYS(H2, J2, fESTIVOS!$A$1:$A$18))</f>
        <v>3</v>
      </c>
      <c r="L2" s="25"/>
      <c r="M2" s="14"/>
      <c r="N2" s="235"/>
      <c r="O2" s="18"/>
      <c r="P2" s="45" t="s">
        <v>51</v>
      </c>
      <c r="Q2" s="236"/>
      <c r="R2" s="236"/>
      <c r="S2" s="236"/>
      <c r="T2" s="236"/>
      <c r="U2" s="236"/>
      <c r="V2" s="236"/>
      <c r="W2" s="236"/>
    </row>
    <row r="3" spans="1:40" ht="22.5" customHeight="1">
      <c r="A3" s="232" t="s">
        <v>611</v>
      </c>
      <c r="B3" s="237"/>
      <c r="C3" s="51" t="s">
        <v>642</v>
      </c>
      <c r="D3" s="52" t="s">
        <v>37</v>
      </c>
      <c r="E3" s="13">
        <v>90</v>
      </c>
      <c r="F3" s="234"/>
      <c r="G3" s="14">
        <v>45749</v>
      </c>
      <c r="H3" s="15">
        <v>45754</v>
      </c>
      <c r="I3" s="17">
        <v>45772</v>
      </c>
      <c r="J3" s="17">
        <v>45783</v>
      </c>
      <c r="K3" s="25">
        <f ca="1">IF(ISBLANK(J3), NETWORKDAYS(H3, TODAY(),fESTIVOS!$A$1:$A$18), NETWORKDAYS(H3, J3, fESTIVOS!$A$1:$A$18))</f>
        <v>22</v>
      </c>
      <c r="L3" s="20"/>
      <c r="M3" s="14">
        <v>45755</v>
      </c>
      <c r="N3" s="235"/>
      <c r="O3" s="18"/>
      <c r="P3" s="31" t="s">
        <v>643</v>
      </c>
      <c r="Q3" s="23" t="s">
        <v>644</v>
      </c>
      <c r="R3" s="23" t="s">
        <v>645</v>
      </c>
      <c r="S3" s="23" t="s">
        <v>646</v>
      </c>
      <c r="T3" s="23" t="s">
        <v>647</v>
      </c>
      <c r="U3" s="22"/>
      <c r="V3" s="22"/>
      <c r="W3" s="22"/>
    </row>
    <row r="4" spans="1:40" ht="22.5" customHeight="1">
      <c r="A4" s="232" t="s">
        <v>611</v>
      </c>
      <c r="B4" s="237"/>
      <c r="C4" s="51" t="s">
        <v>648</v>
      </c>
      <c r="D4" s="52" t="s">
        <v>37</v>
      </c>
      <c r="E4" s="13">
        <v>60</v>
      </c>
      <c r="F4" s="234"/>
      <c r="G4" s="14">
        <v>45749</v>
      </c>
      <c r="H4" s="15">
        <v>45749</v>
      </c>
      <c r="I4" s="17">
        <v>45779</v>
      </c>
      <c r="J4" s="17">
        <v>45783</v>
      </c>
      <c r="K4" s="25">
        <f ca="1">IF(ISBLANK(J4), NETWORKDAYS(H4, TODAY(),fESTIVOS!$A$1:$A$18), NETWORKDAYS(H4, J4, fESTIVOS!$A$1:$A$18))</f>
        <v>25</v>
      </c>
      <c r="L4" s="20"/>
      <c r="M4" s="14">
        <v>45754</v>
      </c>
      <c r="N4" s="235"/>
      <c r="O4" s="18"/>
      <c r="P4" s="31" t="s">
        <v>649</v>
      </c>
      <c r="Q4" s="23" t="s">
        <v>644</v>
      </c>
      <c r="R4" s="23" t="s">
        <v>650</v>
      </c>
      <c r="S4" s="23" t="s">
        <v>646</v>
      </c>
      <c r="T4" s="23" t="s">
        <v>651</v>
      </c>
      <c r="U4" s="22"/>
      <c r="V4" s="22"/>
      <c r="W4" s="22"/>
    </row>
    <row r="5" spans="1:40" ht="22.5" customHeight="1">
      <c r="A5" s="232" t="s">
        <v>611</v>
      </c>
      <c r="B5" s="237"/>
      <c r="C5" s="238" t="s">
        <v>652</v>
      </c>
      <c r="D5" s="52" t="s">
        <v>37</v>
      </c>
      <c r="E5" s="32">
        <v>100</v>
      </c>
      <c r="F5" s="234"/>
      <c r="G5" s="43">
        <v>45770</v>
      </c>
      <c r="H5" s="34">
        <v>45770</v>
      </c>
      <c r="I5" s="34">
        <v>45770</v>
      </c>
      <c r="J5" s="34">
        <v>45770</v>
      </c>
      <c r="K5" s="25">
        <f ca="1">IF(ISBLANK(J5), NETWORKDAYS(H5, TODAY(),fESTIVOS!$A$1:$A$18), NETWORKDAYS(H5, J5, fESTIVOS!$A$1:$A$18))</f>
        <v>1</v>
      </c>
      <c r="L5" s="25"/>
      <c r="M5" s="14"/>
      <c r="N5" s="235"/>
      <c r="O5" s="18"/>
      <c r="P5" s="31" t="s">
        <v>653</v>
      </c>
      <c r="Q5" s="50"/>
      <c r="R5" s="50"/>
      <c r="S5" s="50"/>
      <c r="T5" s="50"/>
      <c r="U5" s="50"/>
      <c r="V5" s="50"/>
      <c r="W5" s="50"/>
    </row>
    <row r="6" spans="1:40" ht="22.5" customHeight="1">
      <c r="A6" s="232" t="s">
        <v>611</v>
      </c>
      <c r="B6" s="70" t="s">
        <v>654</v>
      </c>
      <c r="C6" s="239" t="s">
        <v>655</v>
      </c>
      <c r="D6" s="240" t="s">
        <v>37</v>
      </c>
      <c r="E6" s="241">
        <v>50</v>
      </c>
      <c r="F6" s="242"/>
      <c r="G6" s="243"/>
      <c r="H6" s="244"/>
      <c r="I6" s="244"/>
      <c r="J6" s="244"/>
      <c r="K6" s="25">
        <f ca="1">IF(ISBLANK(J6), NETWORKDAYS(H6, TODAY(),fESTIVOS!$A$1:$A$18), NETWORKDAYS(H6, J6, fESTIVOS!$A$1:$A$18))</f>
        <v>32908</v>
      </c>
      <c r="L6" s="245"/>
      <c r="M6" s="243"/>
      <c r="N6" s="242"/>
      <c r="O6" s="246"/>
      <c r="P6" s="242"/>
      <c r="Q6" s="247" t="s">
        <v>656</v>
      </c>
      <c r="R6" s="247" t="s">
        <v>657</v>
      </c>
      <c r="S6" s="248"/>
      <c r="T6" s="248"/>
      <c r="U6" s="248"/>
      <c r="V6" s="248"/>
      <c r="W6" s="248"/>
    </row>
    <row r="7" spans="1:40" ht="22.5" customHeight="1">
      <c r="A7" s="232" t="s">
        <v>611</v>
      </c>
      <c r="B7" s="70" t="s">
        <v>654</v>
      </c>
      <c r="C7" s="249" t="s">
        <v>658</v>
      </c>
      <c r="D7" s="52" t="s">
        <v>37</v>
      </c>
      <c r="E7" s="57"/>
      <c r="F7" s="40"/>
      <c r="G7" s="33">
        <v>45666</v>
      </c>
      <c r="H7" s="30">
        <v>45684</v>
      </c>
      <c r="I7" s="38"/>
      <c r="J7" s="30">
        <v>45685</v>
      </c>
      <c r="K7" s="25">
        <f ca="1">IF(ISBLANK(J7), NETWORKDAYS(H7, TODAY(),fESTIVOS!$A$1:$A$18), NETWORKDAYS(H7, J7, fESTIVOS!$A$1:$A$18))</f>
        <v>2</v>
      </c>
      <c r="L7" s="234"/>
      <c r="M7" s="85">
        <v>45685</v>
      </c>
      <c r="N7" s="235"/>
      <c r="O7" s="18"/>
      <c r="P7" s="61" t="s">
        <v>659</v>
      </c>
      <c r="Q7" s="47" t="s">
        <v>660</v>
      </c>
      <c r="R7" s="247" t="s">
        <v>657</v>
      </c>
      <c r="S7" s="248"/>
      <c r="T7" s="248"/>
      <c r="U7" s="248"/>
      <c r="V7" s="248"/>
      <c r="W7" s="248"/>
    </row>
    <row r="8" spans="1:40" ht="29.25" customHeight="1">
      <c r="A8" s="250" t="s">
        <v>596</v>
      </c>
      <c r="B8" s="251"/>
      <c r="C8" s="252" t="s">
        <v>661</v>
      </c>
      <c r="D8" s="52" t="s">
        <v>37</v>
      </c>
      <c r="E8" s="253"/>
      <c r="F8" s="253"/>
      <c r="G8" s="254">
        <v>45756</v>
      </c>
      <c r="H8" s="255">
        <v>45756</v>
      </c>
      <c r="I8" s="255"/>
      <c r="J8" s="255">
        <v>45756</v>
      </c>
      <c r="K8" s="256">
        <f ca="1">IF(ISBLANK(J8), NETWORKDAYS(H8, TODAY(),fESTIVOS!$A$1:$A$18), NETWORKDAYS(H8, J8, fESTIVOS!$A$1:$A$18))</f>
        <v>1</v>
      </c>
      <c r="L8" s="253"/>
      <c r="M8" s="254"/>
      <c r="N8" s="253"/>
      <c r="O8" s="257"/>
      <c r="P8" s="258" t="s">
        <v>662</v>
      </c>
      <c r="Q8" s="259"/>
      <c r="R8" s="259"/>
      <c r="S8" s="259"/>
      <c r="T8" s="259"/>
      <c r="U8" s="259"/>
      <c r="V8" s="259"/>
      <c r="W8" s="259"/>
      <c r="X8" s="260"/>
      <c r="Y8" s="260"/>
      <c r="Z8" s="260"/>
      <c r="AA8" s="260"/>
      <c r="AB8" s="260"/>
      <c r="AC8" s="260"/>
      <c r="AD8" s="260"/>
      <c r="AE8" s="260"/>
      <c r="AF8" s="260"/>
      <c r="AG8" s="260"/>
      <c r="AH8" s="260"/>
      <c r="AI8" s="260"/>
      <c r="AJ8" s="260"/>
      <c r="AK8" s="260"/>
      <c r="AL8" s="260"/>
      <c r="AM8" s="260"/>
      <c r="AN8" s="260"/>
    </row>
    <row r="9" spans="1:40" ht="29.25" customHeight="1">
      <c r="A9" s="250" t="s">
        <v>596</v>
      </c>
      <c r="B9" s="251"/>
      <c r="C9" s="252" t="s">
        <v>663</v>
      </c>
      <c r="D9" s="261" t="s">
        <v>37</v>
      </c>
      <c r="E9" s="253"/>
      <c r="F9" s="253"/>
      <c r="G9" s="254">
        <v>45750</v>
      </c>
      <c r="H9" s="255">
        <v>45750</v>
      </c>
      <c r="I9" s="255"/>
      <c r="J9" s="255">
        <v>45755</v>
      </c>
      <c r="K9" s="256">
        <f ca="1">IF(ISBLANK(J9), NETWORKDAYS(H9, TODAY(),fESTIVOS!$A$1:$A$18), NETWORKDAYS(H9, J9, fESTIVOS!$A$1:$A$18))</f>
        <v>4</v>
      </c>
      <c r="L9" s="253"/>
      <c r="M9" s="254">
        <v>45755</v>
      </c>
      <c r="N9" s="253"/>
      <c r="O9" s="257">
        <v>45761</v>
      </c>
      <c r="P9" s="262" t="s">
        <v>664</v>
      </c>
      <c r="Q9" s="263"/>
      <c r="R9" s="263"/>
      <c r="S9" s="263"/>
      <c r="T9" s="263"/>
      <c r="U9" s="263"/>
      <c r="V9" s="263"/>
      <c r="W9" s="263"/>
      <c r="X9" s="260"/>
      <c r="Y9" s="260"/>
      <c r="Z9" s="260"/>
      <c r="AA9" s="260"/>
      <c r="AB9" s="260"/>
      <c r="AC9" s="260"/>
      <c r="AD9" s="260"/>
      <c r="AE9" s="260"/>
      <c r="AF9" s="260"/>
      <c r="AG9" s="260"/>
      <c r="AH9" s="260"/>
      <c r="AI9" s="260"/>
      <c r="AJ9" s="260"/>
      <c r="AK9" s="260"/>
      <c r="AL9" s="260"/>
      <c r="AM9" s="260"/>
      <c r="AN9" s="260"/>
    </row>
    <row r="10" spans="1:40" ht="29.25" customHeight="1">
      <c r="A10" s="250" t="s">
        <v>596</v>
      </c>
      <c r="B10" s="251"/>
      <c r="C10" s="264" t="s">
        <v>665</v>
      </c>
      <c r="D10" s="52" t="s">
        <v>37</v>
      </c>
      <c r="E10" s="253"/>
      <c r="F10" s="253"/>
      <c r="G10" s="254">
        <v>45750</v>
      </c>
      <c r="H10" s="255">
        <v>45751</v>
      </c>
      <c r="I10" s="255"/>
      <c r="J10" s="255"/>
      <c r="K10" s="256">
        <f ca="1">IF(ISBLANK(J10), NETWORKDAYS(H10, TODAY(),fESTIVOS!$A$1:$A$18), NETWORKDAYS(H10, J10, fESTIVOS!$A$1:$A$18))</f>
        <v>245</v>
      </c>
      <c r="L10" s="253"/>
      <c r="M10" s="254"/>
      <c r="N10" s="265" t="s">
        <v>666</v>
      </c>
      <c r="O10" s="257"/>
      <c r="P10" s="262" t="s">
        <v>667</v>
      </c>
      <c r="Q10" s="263"/>
      <c r="R10" s="266"/>
      <c r="S10" s="266"/>
      <c r="T10" s="266"/>
      <c r="U10" s="266"/>
      <c r="V10" s="266"/>
      <c r="W10" s="266"/>
      <c r="X10" s="267"/>
      <c r="Y10" s="267"/>
      <c r="Z10" s="267"/>
      <c r="AA10" s="267"/>
      <c r="AB10" s="267"/>
      <c r="AC10" s="267"/>
      <c r="AD10" s="267"/>
      <c r="AE10" s="267"/>
      <c r="AF10" s="267"/>
      <c r="AG10" s="267"/>
      <c r="AH10" s="267"/>
      <c r="AI10" s="267"/>
      <c r="AJ10" s="267"/>
      <c r="AK10" s="267"/>
      <c r="AL10" s="267"/>
      <c r="AM10" s="267"/>
      <c r="AN10" s="267"/>
    </row>
    <row r="11" spans="1:40" ht="29.25" customHeight="1">
      <c r="Q11" s="268" t="s">
        <v>668</v>
      </c>
      <c r="R11" s="268" t="s">
        <v>669</v>
      </c>
      <c r="S11" s="268" t="s">
        <v>670</v>
      </c>
      <c r="T11" s="269"/>
      <c r="U11" s="269"/>
      <c r="V11" s="269"/>
      <c r="W11" s="269"/>
      <c r="X11" s="270"/>
      <c r="Y11" s="270"/>
      <c r="Z11" s="270"/>
      <c r="AA11" s="270"/>
      <c r="AB11" s="270"/>
      <c r="AC11" s="270"/>
      <c r="AD11" s="270"/>
      <c r="AE11" s="270"/>
      <c r="AF11" s="270"/>
      <c r="AG11" s="270"/>
      <c r="AH11" s="270"/>
      <c r="AI11" s="270"/>
      <c r="AJ11" s="270"/>
      <c r="AK11" s="270"/>
      <c r="AL11" s="270"/>
      <c r="AM11" s="270"/>
      <c r="AN11" s="270"/>
    </row>
    <row r="12" spans="1:40" ht="29.25" customHeight="1">
      <c r="A12" s="250" t="s">
        <v>621</v>
      </c>
      <c r="B12" s="271" t="s">
        <v>671</v>
      </c>
      <c r="C12" s="264" t="s">
        <v>672</v>
      </c>
      <c r="D12" s="261" t="s">
        <v>37</v>
      </c>
      <c r="E12" s="253"/>
      <c r="F12" s="272"/>
      <c r="G12" s="254">
        <v>45751</v>
      </c>
      <c r="H12" s="255">
        <v>45755</v>
      </c>
      <c r="I12" s="273"/>
      <c r="J12" s="274">
        <v>45758</v>
      </c>
      <c r="K12" s="256">
        <f ca="1">IF(ISBLANK(J12), NETWORKDAYS(H12, TODAY(),fESTIVOS!$A$1:$A$18), NETWORKDAYS(H12, J12, fESTIVOS!$A$1:$A$18))</f>
        <v>4</v>
      </c>
      <c r="L12" s="275"/>
      <c r="M12" s="276"/>
      <c r="N12" s="277"/>
      <c r="O12" s="278"/>
      <c r="P12" s="279" t="s">
        <v>673</v>
      </c>
      <c r="Q12" s="259"/>
      <c r="R12" s="280"/>
      <c r="S12" s="280"/>
      <c r="T12" s="280"/>
      <c r="U12" s="280"/>
      <c r="V12" s="280"/>
      <c r="W12" s="280"/>
      <c r="X12" s="267"/>
      <c r="Y12" s="267"/>
      <c r="Z12" s="267"/>
      <c r="AA12" s="267"/>
      <c r="AB12" s="267"/>
      <c r="AC12" s="267"/>
      <c r="AD12" s="267"/>
      <c r="AE12" s="267"/>
      <c r="AF12" s="267"/>
      <c r="AG12" s="267"/>
      <c r="AH12" s="267"/>
      <c r="AI12" s="267"/>
      <c r="AJ12" s="267"/>
      <c r="AK12" s="267"/>
      <c r="AL12" s="267"/>
      <c r="AM12" s="267"/>
      <c r="AN12" s="267"/>
    </row>
    <row r="13" spans="1:40" ht="29.25" customHeight="1">
      <c r="A13" s="250" t="s">
        <v>621</v>
      </c>
      <c r="B13" s="251"/>
      <c r="C13" s="252" t="s">
        <v>674</v>
      </c>
      <c r="D13" s="52" t="s">
        <v>37</v>
      </c>
      <c r="E13" s="253"/>
      <c r="F13" s="281"/>
      <c r="G13" s="254">
        <v>45757</v>
      </c>
      <c r="H13" s="282"/>
      <c r="I13" s="283"/>
      <c r="J13" s="283"/>
      <c r="K13" s="256">
        <f ca="1">IF(ISBLANK(J13), NETWORKDAYS(H13, TODAY(),fESTIVOS!$A$1:$A$18), NETWORKDAYS(H13, J13, fESTIVOS!$A$1:$A$18))</f>
        <v>32908</v>
      </c>
      <c r="L13" s="284"/>
      <c r="M13" s="285"/>
      <c r="N13" s="286"/>
      <c r="O13" s="287"/>
      <c r="P13" s="277" t="s">
        <v>675</v>
      </c>
      <c r="Q13" s="288"/>
      <c r="R13" s="288"/>
      <c r="S13" s="288"/>
      <c r="T13" s="288"/>
      <c r="U13" s="288"/>
      <c r="V13" s="288"/>
      <c r="W13" s="288"/>
      <c r="X13" s="267"/>
      <c r="Y13" s="267"/>
      <c r="Z13" s="267"/>
      <c r="AA13" s="267"/>
      <c r="AB13" s="267"/>
      <c r="AC13" s="267"/>
      <c r="AD13" s="267"/>
      <c r="AE13" s="267"/>
      <c r="AF13" s="267"/>
      <c r="AG13" s="267"/>
      <c r="AH13" s="267"/>
      <c r="AI13" s="267"/>
      <c r="AJ13" s="267"/>
      <c r="AK13" s="267"/>
      <c r="AL13" s="267"/>
      <c r="AM13" s="267"/>
      <c r="AN13" s="267"/>
    </row>
    <row r="14" spans="1:40" ht="29.25" customHeight="1">
      <c r="A14" s="250" t="s">
        <v>621</v>
      </c>
      <c r="B14" s="289" t="s">
        <v>676</v>
      </c>
      <c r="C14" s="290" t="s">
        <v>677</v>
      </c>
      <c r="D14" s="52" t="s">
        <v>37</v>
      </c>
      <c r="E14" s="253"/>
      <c r="F14" s="272"/>
      <c r="G14" s="254">
        <v>45748</v>
      </c>
      <c r="H14" s="255">
        <v>45749</v>
      </c>
      <c r="I14" s="273"/>
      <c r="J14" s="273">
        <v>45755</v>
      </c>
      <c r="K14" s="256">
        <f ca="1">IF(ISBLANK(J14), NETWORKDAYS(H14, TODAY(),fESTIVOS!$A$1:$A$18), NETWORKDAYS(H14, J14, fESTIVOS!$A$1:$A$18))</f>
        <v>5</v>
      </c>
      <c r="L14" s="291"/>
      <c r="M14" s="276">
        <v>45755</v>
      </c>
      <c r="N14" s="277"/>
      <c r="O14" s="278"/>
      <c r="P14" s="292" t="s">
        <v>678</v>
      </c>
      <c r="Q14" s="293"/>
      <c r="R14" s="294"/>
      <c r="S14" s="294"/>
      <c r="T14" s="294"/>
      <c r="U14" s="294"/>
      <c r="V14" s="294"/>
      <c r="W14" s="294"/>
      <c r="X14" s="270"/>
      <c r="Y14" s="270"/>
      <c r="Z14" s="270"/>
      <c r="AA14" s="270"/>
      <c r="AB14" s="270"/>
      <c r="AC14" s="270"/>
      <c r="AD14" s="270"/>
      <c r="AE14" s="270"/>
      <c r="AF14" s="270"/>
      <c r="AG14" s="270"/>
      <c r="AH14" s="270"/>
      <c r="AI14" s="270"/>
      <c r="AJ14" s="270"/>
      <c r="AK14" s="270"/>
      <c r="AL14" s="270"/>
      <c r="AM14" s="270"/>
      <c r="AN14" s="270"/>
    </row>
    <row r="15" spans="1:40" ht="29.25" customHeight="1">
      <c r="A15" s="250" t="s">
        <v>596</v>
      </c>
      <c r="B15" s="265" t="s">
        <v>679</v>
      </c>
      <c r="C15" s="290" t="s">
        <v>680</v>
      </c>
      <c r="D15" s="261" t="s">
        <v>37</v>
      </c>
      <c r="E15" s="253"/>
      <c r="F15" s="253"/>
      <c r="G15" s="254">
        <v>45754</v>
      </c>
      <c r="H15" s="255">
        <v>45757</v>
      </c>
      <c r="I15" s="255"/>
      <c r="J15" s="255">
        <v>45761</v>
      </c>
      <c r="K15" s="256">
        <f ca="1">IF(ISBLANK(J15), NETWORKDAYS(H15, TODAY(),fESTIVOS!$A$1:$A$18), NETWORKDAYS(H15, J15, fESTIVOS!$A$1:$A$18))</f>
        <v>3</v>
      </c>
      <c r="L15" s="253"/>
      <c r="M15" s="254"/>
      <c r="N15" s="253"/>
      <c r="O15" s="257">
        <v>45761</v>
      </c>
      <c r="P15" s="258" t="s">
        <v>681</v>
      </c>
      <c r="Q15" s="259"/>
      <c r="R15" s="259"/>
      <c r="S15" s="259"/>
      <c r="T15" s="259"/>
      <c r="U15" s="259"/>
      <c r="V15" s="259"/>
      <c r="W15" s="259"/>
      <c r="X15" s="260"/>
      <c r="Y15" s="260"/>
      <c r="Z15" s="260"/>
      <c r="AA15" s="260"/>
      <c r="AB15" s="260"/>
      <c r="AC15" s="260"/>
      <c r="AD15" s="260"/>
      <c r="AE15" s="260"/>
      <c r="AF15" s="260"/>
      <c r="AG15" s="260"/>
      <c r="AH15" s="260"/>
      <c r="AI15" s="260"/>
      <c r="AJ15" s="260"/>
      <c r="AK15" s="260"/>
      <c r="AL15" s="260"/>
      <c r="AM15" s="260"/>
      <c r="AN15" s="260"/>
    </row>
    <row r="16" spans="1:40" ht="29.25" customHeight="1">
      <c r="A16" s="250" t="s">
        <v>596</v>
      </c>
      <c r="B16" s="265" t="s">
        <v>682</v>
      </c>
      <c r="C16" s="290" t="s">
        <v>683</v>
      </c>
      <c r="D16" s="261" t="s">
        <v>37</v>
      </c>
      <c r="E16" s="253"/>
      <c r="F16" s="253"/>
      <c r="G16" s="254">
        <v>45754</v>
      </c>
      <c r="H16" s="255">
        <v>45757</v>
      </c>
      <c r="I16" s="255"/>
      <c r="J16" s="255">
        <v>45761</v>
      </c>
      <c r="K16" s="256">
        <f ca="1">IF(ISBLANK(J16), NETWORKDAYS(H16, TODAY(),fESTIVOS!$A$1:$A$18), NETWORKDAYS(H16, J16, fESTIVOS!$A$1:$A$18))</f>
        <v>3</v>
      </c>
      <c r="L16" s="253"/>
      <c r="M16" s="254"/>
      <c r="N16" s="253"/>
      <c r="O16" s="257">
        <v>45761</v>
      </c>
      <c r="P16" s="258" t="s">
        <v>684</v>
      </c>
      <c r="Q16" s="259"/>
      <c r="R16" s="259"/>
      <c r="S16" s="259"/>
      <c r="T16" s="259"/>
      <c r="U16" s="259"/>
      <c r="V16" s="259"/>
      <c r="W16" s="259"/>
      <c r="X16" s="260"/>
      <c r="Y16" s="260"/>
      <c r="Z16" s="260"/>
      <c r="AA16" s="260"/>
      <c r="AB16" s="260"/>
      <c r="AC16" s="260"/>
      <c r="AD16" s="260"/>
      <c r="AE16" s="260"/>
      <c r="AF16" s="260"/>
      <c r="AG16" s="260"/>
      <c r="AH16" s="260"/>
      <c r="AI16" s="260"/>
      <c r="AJ16" s="260"/>
      <c r="AK16" s="260"/>
      <c r="AL16" s="260"/>
      <c r="AM16" s="260"/>
      <c r="AN16" s="260"/>
    </row>
    <row r="17" spans="1:40" ht="29.25" customHeight="1">
      <c r="A17" s="250" t="s">
        <v>596</v>
      </c>
      <c r="B17" s="265" t="s">
        <v>685</v>
      </c>
      <c r="C17" s="290" t="s">
        <v>686</v>
      </c>
      <c r="D17" s="261" t="s">
        <v>37</v>
      </c>
      <c r="E17" s="253"/>
      <c r="F17" s="253"/>
      <c r="G17" s="254">
        <v>45754</v>
      </c>
      <c r="H17" s="255">
        <v>45761</v>
      </c>
      <c r="I17" s="255"/>
      <c r="J17" s="255">
        <v>45761</v>
      </c>
      <c r="K17" s="256">
        <f ca="1">IF(ISBLANK(J17), NETWORKDAYS(H17, TODAY(),fESTIVOS!$A$1:$A$18), NETWORKDAYS(H17, J17, fESTIVOS!$A$1:$A$18))</f>
        <v>1</v>
      </c>
      <c r="L17" s="253"/>
      <c r="M17" s="254"/>
      <c r="N17" s="253"/>
      <c r="O17" s="257">
        <v>45761</v>
      </c>
      <c r="P17" s="258" t="s">
        <v>687</v>
      </c>
      <c r="Q17" s="259"/>
      <c r="R17" s="259"/>
      <c r="S17" s="259"/>
      <c r="T17" s="259"/>
      <c r="U17" s="259"/>
      <c r="V17" s="259"/>
      <c r="W17" s="259"/>
      <c r="X17" s="260"/>
      <c r="Y17" s="260"/>
      <c r="Z17" s="260"/>
      <c r="AA17" s="260"/>
      <c r="AB17" s="260"/>
      <c r="AC17" s="260"/>
      <c r="AD17" s="260"/>
      <c r="AE17" s="260"/>
      <c r="AF17" s="260"/>
      <c r="AG17" s="260"/>
      <c r="AH17" s="260"/>
      <c r="AI17" s="260"/>
      <c r="AJ17" s="260"/>
      <c r="AK17" s="260"/>
      <c r="AL17" s="260"/>
      <c r="AM17" s="260"/>
      <c r="AN17" s="260"/>
    </row>
    <row r="18" spans="1:40" ht="29.25" customHeight="1">
      <c r="A18" s="250" t="s">
        <v>596</v>
      </c>
      <c r="B18" s="265" t="s">
        <v>688</v>
      </c>
      <c r="C18" s="290" t="s">
        <v>689</v>
      </c>
      <c r="D18" s="261" t="s">
        <v>37</v>
      </c>
      <c r="E18" s="253"/>
      <c r="F18" s="253"/>
      <c r="G18" s="254">
        <v>45754</v>
      </c>
      <c r="H18" s="255">
        <v>45757</v>
      </c>
      <c r="I18" s="255"/>
      <c r="J18" s="255">
        <v>45761</v>
      </c>
      <c r="K18" s="256">
        <f ca="1">IF(ISBLANK(J18), NETWORKDAYS(H18, TODAY(),fESTIVOS!$A$1:$A$18), NETWORKDAYS(H18, J18, fESTIVOS!$A$1:$A$18))</f>
        <v>3</v>
      </c>
      <c r="L18" s="253"/>
      <c r="M18" s="254"/>
      <c r="N18" s="253"/>
      <c r="O18" s="257">
        <v>45761</v>
      </c>
      <c r="P18" s="258" t="s">
        <v>690</v>
      </c>
      <c r="Q18" s="259"/>
      <c r="R18" s="259"/>
      <c r="S18" s="259"/>
      <c r="T18" s="259"/>
      <c r="U18" s="259"/>
      <c r="V18" s="259"/>
      <c r="W18" s="259"/>
      <c r="X18" s="260"/>
      <c r="Y18" s="260"/>
      <c r="Z18" s="260"/>
      <c r="AA18" s="260"/>
      <c r="AB18" s="260"/>
      <c r="AC18" s="260"/>
      <c r="AD18" s="260"/>
      <c r="AE18" s="260"/>
      <c r="AF18" s="260"/>
      <c r="AG18" s="260"/>
      <c r="AH18" s="260"/>
      <c r="AI18" s="260"/>
      <c r="AJ18" s="260"/>
      <c r="AK18" s="260"/>
      <c r="AL18" s="260"/>
      <c r="AM18" s="260"/>
      <c r="AN18" s="260"/>
    </row>
    <row r="19" spans="1:40" ht="29.25" customHeight="1">
      <c r="A19" s="295" t="s">
        <v>596</v>
      </c>
      <c r="B19" s="265" t="s">
        <v>691</v>
      </c>
      <c r="C19" s="290" t="s">
        <v>692</v>
      </c>
      <c r="D19" s="261" t="s">
        <v>37</v>
      </c>
      <c r="E19" s="296"/>
      <c r="F19" s="296"/>
      <c r="G19" s="297">
        <v>45793</v>
      </c>
      <c r="H19" s="298">
        <v>45793</v>
      </c>
      <c r="I19" s="298">
        <v>45793</v>
      </c>
      <c r="J19" s="298">
        <v>45793</v>
      </c>
      <c r="K19" s="265">
        <v>1</v>
      </c>
      <c r="L19" s="253"/>
      <c r="M19" s="254"/>
      <c r="N19" s="253"/>
      <c r="O19" s="257"/>
      <c r="P19" s="262"/>
      <c r="Q19" s="263"/>
      <c r="R19" s="263"/>
      <c r="S19" s="263"/>
      <c r="T19" s="263"/>
      <c r="U19" s="263"/>
      <c r="V19" s="263"/>
      <c r="W19" s="263"/>
      <c r="X19" s="260"/>
      <c r="Y19" s="260"/>
      <c r="Z19" s="260"/>
      <c r="AA19" s="260"/>
      <c r="AB19" s="260"/>
      <c r="AC19" s="260"/>
      <c r="AD19" s="260"/>
      <c r="AE19" s="260"/>
      <c r="AF19" s="260"/>
      <c r="AG19" s="260"/>
      <c r="AH19" s="260"/>
      <c r="AI19" s="260"/>
      <c r="AJ19" s="260"/>
      <c r="AK19" s="260"/>
      <c r="AL19" s="260"/>
      <c r="AM19" s="260"/>
      <c r="AN19" s="260"/>
    </row>
    <row r="20" spans="1:40" ht="29.25" customHeight="1">
      <c r="A20" s="295" t="s">
        <v>693</v>
      </c>
      <c r="B20" s="299" t="s">
        <v>694</v>
      </c>
      <c r="C20" s="290" t="s">
        <v>695</v>
      </c>
      <c r="D20" s="300" t="s">
        <v>37</v>
      </c>
      <c r="E20" s="301"/>
      <c r="F20" s="301"/>
      <c r="G20" s="297">
        <v>45763</v>
      </c>
      <c r="H20" s="298">
        <v>45763</v>
      </c>
      <c r="I20" s="298">
        <v>45763</v>
      </c>
      <c r="J20" s="298">
        <v>45763</v>
      </c>
      <c r="K20" s="265">
        <v>1</v>
      </c>
      <c r="L20" s="253"/>
      <c r="M20" s="297">
        <v>45763</v>
      </c>
      <c r="N20" s="301"/>
      <c r="O20" s="302">
        <v>45763</v>
      </c>
      <c r="P20" s="263"/>
      <c r="Q20" s="263"/>
      <c r="R20" s="263"/>
      <c r="S20" s="263"/>
      <c r="T20" s="263"/>
      <c r="U20" s="263"/>
      <c r="V20" s="263"/>
      <c r="W20" s="263"/>
      <c r="X20" s="260"/>
      <c r="Y20" s="260"/>
      <c r="Z20" s="260"/>
      <c r="AA20" s="260"/>
      <c r="AB20" s="260"/>
      <c r="AC20" s="260"/>
      <c r="AD20" s="260"/>
      <c r="AE20" s="260"/>
      <c r="AF20" s="260"/>
      <c r="AG20" s="260"/>
      <c r="AH20" s="260"/>
      <c r="AI20" s="260"/>
      <c r="AJ20" s="260"/>
      <c r="AK20" s="260"/>
      <c r="AL20" s="260"/>
      <c r="AM20" s="260"/>
      <c r="AN20" s="260"/>
    </row>
    <row r="21" spans="1:40" ht="29.25" customHeight="1">
      <c r="A21" s="295" t="s">
        <v>693</v>
      </c>
      <c r="B21" s="299" t="s">
        <v>696</v>
      </c>
      <c r="C21" s="290" t="s">
        <v>695</v>
      </c>
      <c r="D21" s="300" t="s">
        <v>37</v>
      </c>
      <c r="E21" s="301"/>
      <c r="F21" s="301"/>
      <c r="G21" s="297">
        <v>45763</v>
      </c>
      <c r="H21" s="298">
        <v>45763</v>
      </c>
      <c r="I21" s="298">
        <v>45763</v>
      </c>
      <c r="J21" s="298">
        <v>45763</v>
      </c>
      <c r="K21" s="265">
        <v>1</v>
      </c>
      <c r="L21" s="253"/>
      <c r="M21" s="297">
        <v>45763</v>
      </c>
      <c r="N21" s="301"/>
      <c r="O21" s="302">
        <v>45763</v>
      </c>
      <c r="P21" s="263"/>
      <c r="Q21" s="263"/>
      <c r="R21" s="263"/>
      <c r="S21" s="263"/>
      <c r="T21" s="263"/>
      <c r="U21" s="263"/>
      <c r="V21" s="263"/>
      <c r="W21" s="263"/>
      <c r="X21" s="260"/>
      <c r="Y21" s="260"/>
      <c r="Z21" s="260"/>
      <c r="AA21" s="260"/>
      <c r="AB21" s="260"/>
      <c r="AC21" s="260"/>
      <c r="AD21" s="260"/>
      <c r="AE21" s="260"/>
      <c r="AF21" s="260"/>
      <c r="AG21" s="260"/>
      <c r="AH21" s="260"/>
      <c r="AI21" s="260"/>
      <c r="AJ21" s="260"/>
      <c r="AK21" s="260"/>
      <c r="AL21" s="260"/>
      <c r="AM21" s="260"/>
      <c r="AN21" s="260"/>
    </row>
    <row r="22" spans="1:40" ht="29.25" customHeight="1">
      <c r="A22" s="295" t="s">
        <v>693</v>
      </c>
      <c r="B22" s="299" t="s">
        <v>697</v>
      </c>
      <c r="C22" s="290" t="s">
        <v>695</v>
      </c>
      <c r="D22" s="300" t="s">
        <v>37</v>
      </c>
      <c r="E22" s="301"/>
      <c r="F22" s="301"/>
      <c r="G22" s="297">
        <v>45763</v>
      </c>
      <c r="H22" s="298">
        <v>45763</v>
      </c>
      <c r="I22" s="298">
        <v>45763</v>
      </c>
      <c r="J22" s="298">
        <v>45763</v>
      </c>
      <c r="K22" s="265">
        <v>1</v>
      </c>
      <c r="L22" s="253"/>
      <c r="M22" s="297">
        <v>45763</v>
      </c>
      <c r="N22" s="301"/>
      <c r="O22" s="302">
        <v>45763</v>
      </c>
      <c r="P22" s="263"/>
      <c r="Q22" s="263"/>
      <c r="R22" s="263"/>
      <c r="S22" s="263"/>
      <c r="T22" s="263"/>
      <c r="U22" s="263"/>
      <c r="V22" s="263"/>
      <c r="W22" s="263"/>
      <c r="X22" s="260"/>
      <c r="Y22" s="260"/>
      <c r="Z22" s="260"/>
      <c r="AA22" s="260"/>
      <c r="AB22" s="260"/>
      <c r="AC22" s="260"/>
      <c r="AD22" s="260"/>
      <c r="AE22" s="260"/>
      <c r="AF22" s="260"/>
      <c r="AG22" s="260"/>
      <c r="AH22" s="260"/>
      <c r="AI22" s="260"/>
      <c r="AJ22" s="260"/>
      <c r="AK22" s="260"/>
      <c r="AL22" s="260"/>
      <c r="AM22" s="260"/>
      <c r="AN22" s="260"/>
    </row>
    <row r="23" spans="1:40" ht="29.25" customHeight="1">
      <c r="A23" s="295" t="s">
        <v>693</v>
      </c>
      <c r="B23" s="299" t="s">
        <v>698</v>
      </c>
      <c r="C23" s="290" t="s">
        <v>695</v>
      </c>
      <c r="D23" s="300" t="s">
        <v>37</v>
      </c>
      <c r="E23" s="301"/>
      <c r="F23" s="301"/>
      <c r="G23" s="297">
        <v>45763</v>
      </c>
      <c r="H23" s="298">
        <v>45763</v>
      </c>
      <c r="I23" s="298">
        <v>45763</v>
      </c>
      <c r="J23" s="298">
        <v>45763</v>
      </c>
      <c r="K23" s="265">
        <v>1</v>
      </c>
      <c r="L23" s="253"/>
      <c r="M23" s="297">
        <v>45763</v>
      </c>
      <c r="N23" s="301"/>
      <c r="O23" s="302">
        <v>45763</v>
      </c>
      <c r="P23" s="263"/>
      <c r="Q23" s="263"/>
      <c r="R23" s="263"/>
      <c r="S23" s="263"/>
      <c r="T23" s="263"/>
      <c r="U23" s="263"/>
      <c r="V23" s="263"/>
      <c r="W23" s="263"/>
      <c r="X23" s="260"/>
      <c r="Y23" s="260"/>
      <c r="Z23" s="260"/>
      <c r="AA23" s="260"/>
      <c r="AB23" s="260"/>
      <c r="AC23" s="260"/>
      <c r="AD23" s="260"/>
      <c r="AE23" s="260"/>
      <c r="AF23" s="260"/>
      <c r="AG23" s="260"/>
      <c r="AH23" s="260"/>
      <c r="AI23" s="260"/>
      <c r="AJ23" s="260"/>
      <c r="AK23" s="260"/>
      <c r="AL23" s="260"/>
      <c r="AM23" s="260"/>
      <c r="AN23" s="260"/>
    </row>
    <row r="24" spans="1:40" ht="29.25" customHeight="1">
      <c r="A24" s="295" t="s">
        <v>693</v>
      </c>
      <c r="B24" s="299" t="s">
        <v>699</v>
      </c>
      <c r="C24" s="290" t="s">
        <v>695</v>
      </c>
      <c r="D24" s="300" t="s">
        <v>37</v>
      </c>
      <c r="E24" s="301"/>
      <c r="F24" s="301"/>
      <c r="G24" s="297">
        <v>45763</v>
      </c>
      <c r="H24" s="298">
        <v>45763</v>
      </c>
      <c r="I24" s="298">
        <v>45763</v>
      </c>
      <c r="J24" s="298">
        <v>45763</v>
      </c>
      <c r="K24" s="265">
        <v>1</v>
      </c>
      <c r="L24" s="253"/>
      <c r="M24" s="297">
        <v>45763</v>
      </c>
      <c r="N24" s="301"/>
      <c r="O24" s="302">
        <v>45763</v>
      </c>
      <c r="P24" s="263"/>
      <c r="Q24" s="263"/>
      <c r="R24" s="263"/>
      <c r="S24" s="263"/>
      <c r="T24" s="263"/>
      <c r="U24" s="263"/>
      <c r="V24" s="263"/>
      <c r="W24" s="263"/>
      <c r="X24" s="260"/>
      <c r="Y24" s="260"/>
      <c r="Z24" s="260"/>
      <c r="AA24" s="260"/>
      <c r="AB24" s="260"/>
      <c r="AC24" s="260"/>
      <c r="AD24" s="260"/>
      <c r="AE24" s="260"/>
      <c r="AF24" s="260"/>
      <c r="AG24" s="260"/>
      <c r="AH24" s="260"/>
      <c r="AI24" s="260"/>
      <c r="AJ24" s="260"/>
      <c r="AK24" s="260"/>
      <c r="AL24" s="260"/>
      <c r="AM24" s="260"/>
      <c r="AN24" s="260"/>
    </row>
    <row r="25" spans="1:40" ht="29.25" customHeight="1">
      <c r="A25" s="295" t="s">
        <v>693</v>
      </c>
      <c r="B25" s="299" t="s">
        <v>700</v>
      </c>
      <c r="C25" s="290" t="s">
        <v>695</v>
      </c>
      <c r="D25" s="300" t="s">
        <v>37</v>
      </c>
      <c r="E25" s="301"/>
      <c r="F25" s="301"/>
      <c r="G25" s="297">
        <v>45763</v>
      </c>
      <c r="H25" s="298">
        <v>45763</v>
      </c>
      <c r="I25" s="298">
        <v>45763</v>
      </c>
      <c r="J25" s="298">
        <v>45763</v>
      </c>
      <c r="K25" s="265">
        <v>1</v>
      </c>
      <c r="L25" s="253"/>
      <c r="M25" s="297">
        <v>45763</v>
      </c>
      <c r="N25" s="301"/>
      <c r="O25" s="302">
        <v>45763</v>
      </c>
      <c r="P25" s="263"/>
      <c r="Q25" s="263"/>
      <c r="R25" s="263"/>
      <c r="S25" s="263"/>
      <c r="T25" s="263"/>
      <c r="U25" s="263"/>
      <c r="V25" s="263"/>
      <c r="W25" s="263"/>
      <c r="X25" s="260"/>
      <c r="Y25" s="260"/>
      <c r="Z25" s="260"/>
      <c r="AA25" s="260"/>
      <c r="AB25" s="260"/>
      <c r="AC25" s="260"/>
      <c r="AD25" s="260"/>
      <c r="AE25" s="260"/>
      <c r="AF25" s="260"/>
      <c r="AG25" s="260"/>
      <c r="AH25" s="260"/>
      <c r="AI25" s="260"/>
      <c r="AJ25" s="260"/>
      <c r="AK25" s="260"/>
      <c r="AL25" s="260"/>
      <c r="AM25" s="260"/>
      <c r="AN25" s="260"/>
    </row>
    <row r="26" spans="1:40" ht="29.25" customHeight="1">
      <c r="A26" s="295" t="s">
        <v>693</v>
      </c>
      <c r="B26" s="299" t="s">
        <v>701</v>
      </c>
      <c r="C26" s="290" t="s">
        <v>695</v>
      </c>
      <c r="D26" s="300" t="s">
        <v>37</v>
      </c>
      <c r="E26" s="301"/>
      <c r="F26" s="301"/>
      <c r="G26" s="297">
        <v>45763</v>
      </c>
      <c r="H26" s="298">
        <v>45763</v>
      </c>
      <c r="I26" s="298">
        <v>45763</v>
      </c>
      <c r="J26" s="298">
        <v>45763</v>
      </c>
      <c r="K26" s="265">
        <v>1</v>
      </c>
      <c r="L26" s="253"/>
      <c r="M26" s="297">
        <v>45763</v>
      </c>
      <c r="N26" s="301"/>
      <c r="O26" s="302">
        <v>45763</v>
      </c>
      <c r="P26" s="263"/>
      <c r="Q26" s="263"/>
      <c r="R26" s="263"/>
      <c r="S26" s="263"/>
      <c r="T26" s="263"/>
      <c r="U26" s="263"/>
      <c r="V26" s="263"/>
      <c r="W26" s="263"/>
      <c r="X26" s="260"/>
      <c r="Y26" s="260"/>
      <c r="Z26" s="260"/>
      <c r="AA26" s="260"/>
      <c r="AB26" s="260"/>
      <c r="AC26" s="260"/>
      <c r="AD26" s="260"/>
      <c r="AE26" s="260"/>
      <c r="AF26" s="260"/>
      <c r="AG26" s="260"/>
      <c r="AH26" s="260"/>
      <c r="AI26" s="260"/>
      <c r="AJ26" s="260"/>
      <c r="AK26" s="260"/>
      <c r="AL26" s="260"/>
      <c r="AM26" s="260"/>
      <c r="AN26" s="260"/>
    </row>
    <row r="27" spans="1:40" ht="29.25" customHeight="1">
      <c r="A27" s="295" t="s">
        <v>693</v>
      </c>
      <c r="B27" s="299" t="s">
        <v>702</v>
      </c>
      <c r="C27" s="290" t="s">
        <v>695</v>
      </c>
      <c r="D27" s="300" t="s">
        <v>37</v>
      </c>
      <c r="E27" s="301"/>
      <c r="F27" s="301"/>
      <c r="G27" s="297">
        <v>45763</v>
      </c>
      <c r="H27" s="298">
        <v>45763</v>
      </c>
      <c r="I27" s="298">
        <v>45763</v>
      </c>
      <c r="J27" s="298">
        <v>45763</v>
      </c>
      <c r="K27" s="265">
        <v>1</v>
      </c>
      <c r="L27" s="253"/>
      <c r="M27" s="297">
        <v>45763</v>
      </c>
      <c r="N27" s="301"/>
      <c r="O27" s="302">
        <v>45763</v>
      </c>
      <c r="P27" s="263"/>
      <c r="Q27" s="263"/>
      <c r="R27" s="263"/>
      <c r="S27" s="263"/>
      <c r="T27" s="263"/>
      <c r="U27" s="263"/>
      <c r="V27" s="263"/>
      <c r="W27" s="263"/>
      <c r="X27" s="260"/>
      <c r="Y27" s="260"/>
      <c r="Z27" s="260"/>
      <c r="AA27" s="260"/>
      <c r="AB27" s="260"/>
      <c r="AC27" s="260"/>
      <c r="AD27" s="260"/>
      <c r="AE27" s="260"/>
      <c r="AF27" s="260"/>
      <c r="AG27" s="260"/>
      <c r="AH27" s="260"/>
      <c r="AI27" s="260"/>
      <c r="AJ27" s="260"/>
      <c r="AK27" s="260"/>
      <c r="AL27" s="260"/>
      <c r="AM27" s="260"/>
      <c r="AN27" s="260"/>
    </row>
    <row r="28" spans="1:40" ht="29.25" customHeight="1">
      <c r="A28" s="295" t="s">
        <v>693</v>
      </c>
      <c r="B28" s="299" t="s">
        <v>691</v>
      </c>
      <c r="C28" s="290" t="s">
        <v>695</v>
      </c>
      <c r="D28" s="300" t="s">
        <v>37</v>
      </c>
      <c r="E28" s="301"/>
      <c r="F28" s="301"/>
      <c r="G28" s="297">
        <v>45763</v>
      </c>
      <c r="H28" s="298">
        <v>45763</v>
      </c>
      <c r="I28" s="298">
        <v>45763</v>
      </c>
      <c r="J28" s="298">
        <v>45763</v>
      </c>
      <c r="K28" s="265">
        <v>1</v>
      </c>
      <c r="L28" s="253"/>
      <c r="M28" s="297">
        <v>45763</v>
      </c>
      <c r="N28" s="301"/>
      <c r="O28" s="302">
        <v>45763</v>
      </c>
      <c r="P28" s="263"/>
      <c r="Q28" s="263"/>
      <c r="R28" s="263"/>
      <c r="S28" s="263"/>
      <c r="T28" s="263"/>
      <c r="U28" s="263"/>
      <c r="V28" s="263"/>
      <c r="W28" s="263"/>
      <c r="X28" s="260"/>
      <c r="Y28" s="260"/>
      <c r="Z28" s="260"/>
      <c r="AA28" s="260"/>
      <c r="AB28" s="260"/>
      <c r="AC28" s="260"/>
      <c r="AD28" s="260"/>
      <c r="AE28" s="260"/>
      <c r="AF28" s="260"/>
      <c r="AG28" s="260"/>
      <c r="AH28" s="260"/>
      <c r="AI28" s="260"/>
      <c r="AJ28" s="260"/>
      <c r="AK28" s="260"/>
      <c r="AL28" s="260"/>
      <c r="AM28" s="260"/>
      <c r="AN28" s="260"/>
    </row>
    <row r="29" spans="1:40" ht="29.25" customHeight="1">
      <c r="A29" s="295" t="s">
        <v>693</v>
      </c>
      <c r="B29" s="299" t="s">
        <v>703</v>
      </c>
      <c r="C29" s="290" t="s">
        <v>704</v>
      </c>
      <c r="D29" s="300" t="s">
        <v>37</v>
      </c>
      <c r="E29" s="301"/>
      <c r="F29" s="301"/>
      <c r="G29" s="297">
        <v>45770</v>
      </c>
      <c r="H29" s="298">
        <v>45771</v>
      </c>
      <c r="I29" s="298">
        <v>45772</v>
      </c>
      <c r="J29" s="298"/>
      <c r="K29" s="265"/>
      <c r="L29" s="253"/>
      <c r="M29" s="297"/>
      <c r="N29" s="303"/>
      <c r="O29" s="304"/>
      <c r="P29" s="263"/>
      <c r="Q29" s="305" t="s">
        <v>705</v>
      </c>
      <c r="R29" s="306"/>
      <c r="S29" s="306"/>
      <c r="T29" s="306"/>
      <c r="U29" s="306"/>
      <c r="V29" s="306"/>
      <c r="W29" s="306"/>
      <c r="X29" s="260"/>
      <c r="Y29" s="260"/>
      <c r="Z29" s="260"/>
      <c r="AA29" s="260"/>
      <c r="AB29" s="260"/>
      <c r="AC29" s="260"/>
      <c r="AD29" s="260"/>
      <c r="AE29" s="260"/>
      <c r="AF29" s="260"/>
      <c r="AG29" s="260"/>
      <c r="AH29" s="260"/>
      <c r="AI29" s="260"/>
      <c r="AJ29" s="260"/>
      <c r="AK29" s="260"/>
      <c r="AL29" s="260"/>
      <c r="AM29" s="260"/>
      <c r="AN29" s="260"/>
    </row>
    <row r="30" spans="1:40" ht="29.25" customHeight="1">
      <c r="A30" s="295" t="s">
        <v>693</v>
      </c>
      <c r="B30" s="307" t="s">
        <v>706</v>
      </c>
      <c r="C30" s="290" t="s">
        <v>707</v>
      </c>
      <c r="D30" s="300" t="s">
        <v>37</v>
      </c>
      <c r="E30" s="301"/>
      <c r="F30" s="265">
        <v>1</v>
      </c>
      <c r="G30" s="297">
        <v>45775</v>
      </c>
      <c r="H30" s="298">
        <v>45775</v>
      </c>
      <c r="I30" s="298">
        <v>45775</v>
      </c>
      <c r="J30" s="298">
        <v>45775</v>
      </c>
      <c r="K30" s="265"/>
      <c r="L30" s="253"/>
      <c r="M30" s="297"/>
      <c r="N30" s="303"/>
      <c r="O30" s="304"/>
      <c r="P30" s="263"/>
      <c r="Q30" s="305" t="s">
        <v>708</v>
      </c>
      <c r="R30" s="306"/>
      <c r="S30" s="306"/>
      <c r="T30" s="306"/>
      <c r="U30" s="306"/>
      <c r="V30" s="306"/>
      <c r="W30" s="306"/>
      <c r="X30" s="260"/>
      <c r="Y30" s="260"/>
      <c r="Z30" s="260"/>
      <c r="AA30" s="260"/>
      <c r="AB30" s="260"/>
      <c r="AC30" s="260"/>
      <c r="AD30" s="260"/>
      <c r="AE30" s="260"/>
      <c r="AF30" s="260"/>
      <c r="AG30" s="260"/>
      <c r="AH30" s="260"/>
      <c r="AI30" s="260"/>
      <c r="AJ30" s="260"/>
      <c r="AK30" s="260"/>
      <c r="AL30" s="260"/>
      <c r="AM30" s="260"/>
      <c r="AN30" s="260"/>
    </row>
    <row r="31" spans="1:40" ht="29.25" customHeight="1">
      <c r="A31" s="295" t="s">
        <v>693</v>
      </c>
      <c r="B31" s="307" t="s">
        <v>703</v>
      </c>
      <c r="C31" s="290" t="s">
        <v>709</v>
      </c>
      <c r="D31" s="300" t="s">
        <v>37</v>
      </c>
      <c r="E31" s="265">
        <v>100</v>
      </c>
      <c r="F31" s="301"/>
      <c r="G31" s="297">
        <v>45770</v>
      </c>
      <c r="H31" s="298">
        <v>45770</v>
      </c>
      <c r="I31" s="298">
        <v>45770</v>
      </c>
      <c r="J31" s="298">
        <v>45770</v>
      </c>
      <c r="K31" s="265">
        <v>1</v>
      </c>
      <c r="L31" s="253"/>
      <c r="M31" s="297"/>
      <c r="N31" s="303"/>
      <c r="O31" s="304"/>
      <c r="P31" s="263"/>
      <c r="Q31" s="263"/>
      <c r="R31" s="263"/>
      <c r="S31" s="263"/>
      <c r="T31" s="263"/>
      <c r="U31" s="263"/>
      <c r="V31" s="263"/>
      <c r="W31" s="263"/>
      <c r="X31" s="260"/>
      <c r="Y31" s="260"/>
      <c r="Z31" s="260"/>
      <c r="AA31" s="260"/>
      <c r="AB31" s="260"/>
      <c r="AC31" s="260"/>
      <c r="AD31" s="260"/>
      <c r="AE31" s="260"/>
      <c r="AF31" s="260"/>
      <c r="AG31" s="260"/>
      <c r="AH31" s="260"/>
      <c r="AI31" s="260"/>
      <c r="AJ31" s="260"/>
      <c r="AK31" s="260"/>
      <c r="AL31" s="260"/>
      <c r="AM31" s="260"/>
      <c r="AN31" s="260"/>
    </row>
    <row r="32" spans="1:40" ht="29.25" customHeight="1">
      <c r="A32" s="295" t="s">
        <v>693</v>
      </c>
      <c r="B32" s="307" t="s">
        <v>703</v>
      </c>
      <c r="C32" s="290" t="s">
        <v>710</v>
      </c>
      <c r="D32" s="300" t="s">
        <v>37</v>
      </c>
      <c r="E32" s="265">
        <v>100</v>
      </c>
      <c r="F32" s="301"/>
      <c r="G32" s="297">
        <v>45770</v>
      </c>
      <c r="H32" s="298">
        <v>45770</v>
      </c>
      <c r="I32" s="298">
        <v>45770</v>
      </c>
      <c r="J32" s="298">
        <v>45770</v>
      </c>
      <c r="K32" s="265">
        <v>1</v>
      </c>
      <c r="L32" s="253"/>
      <c r="M32" s="297"/>
      <c r="N32" s="303"/>
      <c r="O32" s="304"/>
      <c r="P32" s="263"/>
      <c r="Q32" s="263"/>
      <c r="R32" s="263"/>
      <c r="S32" s="263"/>
      <c r="T32" s="263"/>
      <c r="U32" s="263"/>
      <c r="V32" s="263"/>
      <c r="W32" s="263"/>
      <c r="X32" s="260"/>
      <c r="Y32" s="260"/>
      <c r="Z32" s="260"/>
      <c r="AA32" s="260"/>
      <c r="AB32" s="260"/>
      <c r="AC32" s="260"/>
      <c r="AD32" s="260"/>
      <c r="AE32" s="260"/>
      <c r="AF32" s="260"/>
      <c r="AG32" s="260"/>
      <c r="AH32" s="260"/>
      <c r="AI32" s="260"/>
      <c r="AJ32" s="260"/>
      <c r="AK32" s="260"/>
      <c r="AL32" s="260"/>
      <c r="AM32" s="260"/>
      <c r="AN32" s="260"/>
    </row>
    <row r="33" spans="1:40" ht="29.25" customHeight="1">
      <c r="A33" s="308" t="s">
        <v>711</v>
      </c>
      <c r="B33" s="307" t="s">
        <v>712</v>
      </c>
      <c r="C33" s="290" t="s">
        <v>713</v>
      </c>
      <c r="D33" s="300" t="s">
        <v>37</v>
      </c>
      <c r="E33" s="265">
        <v>90</v>
      </c>
      <c r="F33" s="265">
        <v>2</v>
      </c>
      <c r="G33" s="297">
        <v>45773</v>
      </c>
      <c r="H33" s="298">
        <v>45776</v>
      </c>
      <c r="I33" s="298">
        <v>45783</v>
      </c>
      <c r="J33" s="298">
        <v>45785</v>
      </c>
      <c r="K33" s="265"/>
      <c r="L33" s="253"/>
      <c r="M33" s="297"/>
      <c r="N33" s="303"/>
      <c r="O33" s="304"/>
      <c r="P33" s="263"/>
      <c r="Q33" s="263"/>
      <c r="R33" s="263"/>
      <c r="S33" s="263"/>
      <c r="T33" s="263"/>
      <c r="U33" s="263"/>
      <c r="V33" s="305" t="s">
        <v>714</v>
      </c>
      <c r="W33" s="306"/>
      <c r="X33" s="260"/>
      <c r="Y33" s="260"/>
      <c r="Z33" s="260"/>
      <c r="AA33" s="260"/>
      <c r="AB33" s="260"/>
      <c r="AC33" s="260"/>
      <c r="AD33" s="260"/>
      <c r="AE33" s="260"/>
      <c r="AF33" s="260"/>
      <c r="AG33" s="260"/>
      <c r="AH33" s="260"/>
      <c r="AI33" s="260"/>
      <c r="AJ33" s="260"/>
      <c r="AK33" s="260"/>
      <c r="AL33" s="260"/>
      <c r="AM33" s="260"/>
      <c r="AN33" s="260"/>
    </row>
    <row r="34" spans="1:40" ht="29.25" customHeight="1">
      <c r="A34" s="250" t="s">
        <v>596</v>
      </c>
      <c r="B34" s="307" t="s">
        <v>712</v>
      </c>
      <c r="C34" s="290" t="s">
        <v>715</v>
      </c>
      <c r="D34" s="300" t="s">
        <v>37</v>
      </c>
      <c r="E34" s="301"/>
      <c r="F34" s="301"/>
      <c r="G34" s="297">
        <v>45779</v>
      </c>
      <c r="H34" s="298">
        <v>45779</v>
      </c>
      <c r="I34" s="298">
        <v>45782</v>
      </c>
      <c r="J34" s="298">
        <v>45782</v>
      </c>
      <c r="K34" s="265"/>
      <c r="L34" s="253"/>
      <c r="M34" s="297"/>
      <c r="N34" s="303"/>
      <c r="O34" s="304"/>
      <c r="P34" s="263"/>
      <c r="Q34" s="263"/>
      <c r="R34" s="263"/>
      <c r="S34" s="305" t="s">
        <v>716</v>
      </c>
      <c r="T34" s="305" t="s">
        <v>717</v>
      </c>
      <c r="U34" s="306"/>
      <c r="V34" s="306"/>
      <c r="W34" s="306"/>
      <c r="X34" s="260"/>
      <c r="Y34" s="260"/>
      <c r="Z34" s="260"/>
      <c r="AA34" s="260"/>
      <c r="AB34" s="260"/>
      <c r="AC34" s="260"/>
      <c r="AD34" s="260"/>
      <c r="AE34" s="260"/>
      <c r="AF34" s="260"/>
      <c r="AG34" s="260"/>
      <c r="AH34" s="260"/>
      <c r="AI34" s="260"/>
      <c r="AJ34" s="260"/>
      <c r="AK34" s="260"/>
      <c r="AL34" s="260"/>
      <c r="AM34" s="260"/>
      <c r="AN34" s="260"/>
    </row>
    <row r="35" spans="1:40" ht="29.25" customHeight="1">
      <c r="A35" s="309" t="s">
        <v>718</v>
      </c>
      <c r="B35" s="310"/>
      <c r="C35" s="252" t="s">
        <v>719</v>
      </c>
      <c r="D35" s="52" t="s">
        <v>37</v>
      </c>
      <c r="E35" s="253"/>
      <c r="F35" s="253"/>
      <c r="G35" s="254">
        <v>45714</v>
      </c>
      <c r="H35" s="298">
        <v>45784</v>
      </c>
      <c r="I35" s="255"/>
      <c r="J35" s="298">
        <v>45785</v>
      </c>
      <c r="K35" s="311"/>
      <c r="L35" s="253"/>
      <c r="M35" s="254"/>
      <c r="N35" s="253"/>
      <c r="O35" s="257"/>
      <c r="P35" s="258" t="s">
        <v>720</v>
      </c>
      <c r="Q35" s="259"/>
      <c r="R35" s="259"/>
      <c r="S35" s="259"/>
      <c r="T35" s="259"/>
      <c r="U35" s="259"/>
      <c r="V35" s="259"/>
      <c r="W35" s="259"/>
      <c r="X35" s="260"/>
      <c r="Y35" s="260"/>
      <c r="Z35" s="260"/>
      <c r="AA35" s="260"/>
      <c r="AB35" s="260"/>
      <c r="AC35" s="260"/>
      <c r="AD35" s="260"/>
      <c r="AE35" s="260"/>
      <c r="AF35" s="260"/>
      <c r="AG35" s="260"/>
      <c r="AH35" s="260"/>
      <c r="AI35" s="260"/>
      <c r="AJ35" s="260"/>
      <c r="AK35" s="260"/>
      <c r="AL35" s="260"/>
      <c r="AM35" s="260"/>
      <c r="AN35" s="260"/>
    </row>
    <row r="36" spans="1:40" ht="29.25" customHeight="1">
      <c r="A36" s="308" t="s">
        <v>611</v>
      </c>
      <c r="B36" s="307" t="s">
        <v>712</v>
      </c>
      <c r="C36" s="290" t="s">
        <v>721</v>
      </c>
      <c r="D36" s="300" t="s">
        <v>37</v>
      </c>
      <c r="E36" s="265">
        <v>80</v>
      </c>
      <c r="F36" s="265">
        <v>15</v>
      </c>
      <c r="G36" s="297">
        <v>45778</v>
      </c>
      <c r="H36" s="298">
        <v>45778</v>
      </c>
      <c r="I36" s="298"/>
      <c r="J36" s="298">
        <v>45793</v>
      </c>
      <c r="K36" s="256">
        <f ca="1">IF(ISBLANK(J36), NETWORKDAYS(H36, TODAY(),fESTIVOS!$A$1:$A$18), NETWORKDAYS(H36, J36, fESTIVOS!$A$1:$A$18))</f>
        <v>12</v>
      </c>
      <c r="L36" s="253"/>
      <c r="M36" s="297"/>
      <c r="N36" s="312"/>
      <c r="O36" s="304"/>
      <c r="P36" s="263"/>
      <c r="Q36" s="263"/>
      <c r="R36" s="263"/>
      <c r="S36" s="263"/>
      <c r="T36" s="263"/>
      <c r="U36" s="263"/>
      <c r="V36" s="305" t="s">
        <v>722</v>
      </c>
      <c r="W36" s="305" t="s">
        <v>723</v>
      </c>
      <c r="X36" s="268" t="s">
        <v>724</v>
      </c>
      <c r="Y36" s="269"/>
      <c r="Z36" s="268" t="s">
        <v>725</v>
      </c>
      <c r="AA36" s="269"/>
      <c r="AB36" s="269"/>
      <c r="AC36" s="268" t="s">
        <v>726</v>
      </c>
      <c r="AD36" s="269"/>
      <c r="AE36" s="269"/>
      <c r="AF36" s="269"/>
      <c r="AG36" s="269"/>
      <c r="AH36" s="269"/>
      <c r="AI36" s="269"/>
      <c r="AJ36" s="269"/>
      <c r="AK36" s="269"/>
      <c r="AL36" s="269"/>
      <c r="AM36" s="269"/>
      <c r="AN36" s="269"/>
    </row>
    <row r="37" spans="1:40" ht="29.25" customHeight="1">
      <c r="A37" s="308" t="s">
        <v>611</v>
      </c>
      <c r="B37" s="307" t="s">
        <v>712</v>
      </c>
      <c r="C37" s="290" t="s">
        <v>727</v>
      </c>
      <c r="D37" s="300" t="s">
        <v>37</v>
      </c>
      <c r="E37" s="301"/>
      <c r="F37" s="265">
        <v>1</v>
      </c>
      <c r="G37" s="297">
        <v>45785</v>
      </c>
      <c r="H37" s="298">
        <v>45785</v>
      </c>
      <c r="I37" s="298">
        <v>45786</v>
      </c>
      <c r="J37" s="298">
        <v>45786</v>
      </c>
      <c r="K37" s="256">
        <f ca="1">IF(ISBLANK(J37), NETWORKDAYS(H37, TODAY(),fESTIVOS!$A$1:$A$18), NETWORKDAYS(H37, J37, fESTIVOS!$A$1:$A$18))</f>
        <v>2</v>
      </c>
      <c r="L37" s="253"/>
      <c r="M37" s="297"/>
      <c r="N37" s="312"/>
      <c r="O37" s="302">
        <v>45786</v>
      </c>
      <c r="P37" s="263"/>
      <c r="Q37" s="263"/>
      <c r="R37" s="263"/>
      <c r="S37" s="263"/>
      <c r="T37" s="263"/>
      <c r="U37" s="263"/>
      <c r="V37" s="305" t="s">
        <v>728</v>
      </c>
      <c r="W37" s="305" t="s">
        <v>729</v>
      </c>
      <c r="X37" s="306"/>
      <c r="Y37" s="306"/>
      <c r="Z37" s="306"/>
      <c r="AA37" s="306"/>
      <c r="AB37" s="306"/>
      <c r="AC37" s="306"/>
      <c r="AD37" s="306"/>
      <c r="AE37" s="306"/>
      <c r="AF37" s="306"/>
      <c r="AG37" s="306"/>
      <c r="AH37" s="306"/>
      <c r="AI37" s="306"/>
      <c r="AJ37" s="306"/>
      <c r="AK37" s="306"/>
      <c r="AL37" s="306"/>
      <c r="AM37" s="306"/>
      <c r="AN37" s="306"/>
    </row>
    <row r="38" spans="1:40" ht="29.25" customHeight="1">
      <c r="A38" s="308" t="s">
        <v>611</v>
      </c>
      <c r="B38" s="307" t="s">
        <v>712</v>
      </c>
      <c r="C38" s="313" t="s">
        <v>730</v>
      </c>
      <c r="D38" s="314" t="s">
        <v>37</v>
      </c>
      <c r="E38" s="303"/>
      <c r="F38" s="303"/>
      <c r="G38" s="297">
        <v>45791</v>
      </c>
      <c r="H38" s="298">
        <v>45791</v>
      </c>
      <c r="I38" s="298"/>
      <c r="J38" s="298">
        <v>45791</v>
      </c>
      <c r="K38" s="256">
        <f ca="1">IF(ISBLANK(J38), NETWORKDAYS(H38, TODAY(),fESTIVOS!$A$1:$A$18), NETWORKDAYS(H38, J38, fESTIVOS!$A$1:$A$18))</f>
        <v>1</v>
      </c>
      <c r="L38" s="315"/>
      <c r="M38" s="316"/>
      <c r="N38" s="317"/>
      <c r="O38" s="318"/>
      <c r="P38" s="263"/>
      <c r="Q38" s="263"/>
      <c r="R38" s="266"/>
      <c r="S38" s="266"/>
      <c r="T38" s="266"/>
      <c r="U38" s="266"/>
      <c r="V38" s="266"/>
      <c r="W38" s="266"/>
      <c r="X38" s="305" t="s">
        <v>731</v>
      </c>
      <c r="Y38" s="266"/>
      <c r="Z38" s="305" t="s">
        <v>732</v>
      </c>
      <c r="AA38" s="319"/>
      <c r="AB38" s="319"/>
      <c r="AC38" s="319"/>
      <c r="AD38" s="319"/>
      <c r="AE38" s="319"/>
      <c r="AF38" s="319"/>
      <c r="AG38" s="319"/>
      <c r="AH38" s="319"/>
      <c r="AI38" s="319"/>
      <c r="AJ38" s="319"/>
      <c r="AK38" s="319"/>
      <c r="AL38" s="319"/>
      <c r="AM38" s="319"/>
      <c r="AN38" s="319"/>
    </row>
    <row r="39" spans="1:40" ht="29.25" customHeight="1">
      <c r="A39" s="250" t="s">
        <v>621</v>
      </c>
      <c r="B39" s="320" t="s">
        <v>733</v>
      </c>
      <c r="C39" s="264" t="s">
        <v>52</v>
      </c>
      <c r="D39" s="300" t="s">
        <v>37</v>
      </c>
      <c r="E39" s="253"/>
      <c r="F39" s="265">
        <v>1</v>
      </c>
      <c r="G39" s="297">
        <v>45779</v>
      </c>
      <c r="H39" s="298">
        <v>45779</v>
      </c>
      <c r="I39" s="298">
        <v>45779</v>
      </c>
      <c r="J39" s="298">
        <v>45779</v>
      </c>
      <c r="K39" s="321">
        <f ca="1">IF(ISBLANK(J39), NETWORKDAYS(H39, TODAY(),fESTIVOS!$A$1:$A$18), NETWORKDAYS(H39, J39, fESTIVOS!$A$1:$A$18))</f>
        <v>1</v>
      </c>
      <c r="L39" s="253"/>
      <c r="M39" s="297">
        <v>45782</v>
      </c>
      <c r="N39" s="322"/>
      <c r="O39" s="302">
        <v>45789</v>
      </c>
      <c r="P39" s="258"/>
      <c r="Q39" s="259"/>
      <c r="R39" s="259"/>
      <c r="S39" s="268" t="s">
        <v>42</v>
      </c>
      <c r="T39" s="269"/>
      <c r="U39" s="269"/>
      <c r="V39" s="269"/>
      <c r="W39" s="268" t="s">
        <v>734</v>
      </c>
      <c r="X39" s="268" t="s">
        <v>735</v>
      </c>
      <c r="Y39" s="269"/>
      <c r="Z39" s="269"/>
      <c r="AA39" s="269"/>
      <c r="AB39" s="269"/>
      <c r="AC39" s="269"/>
      <c r="AD39" s="269"/>
      <c r="AE39" s="269"/>
      <c r="AF39" s="269"/>
      <c r="AG39" s="269"/>
      <c r="AH39" s="269"/>
      <c r="AI39" s="269"/>
      <c r="AJ39" s="269"/>
      <c r="AK39" s="269"/>
      <c r="AL39" s="269"/>
      <c r="AM39" s="269"/>
      <c r="AN39" s="269"/>
    </row>
    <row r="40" spans="1:40" ht="29.25" customHeight="1">
      <c r="A40" s="323" t="s">
        <v>693</v>
      </c>
      <c r="B40" s="307" t="s">
        <v>736</v>
      </c>
      <c r="C40" s="290" t="s">
        <v>737</v>
      </c>
      <c r="D40" s="300" t="s">
        <v>37</v>
      </c>
      <c r="E40" s="301"/>
      <c r="F40" s="301"/>
      <c r="G40" s="297">
        <v>45789</v>
      </c>
      <c r="H40" s="298">
        <v>45789</v>
      </c>
      <c r="I40" s="298"/>
      <c r="J40" s="298">
        <v>45790</v>
      </c>
      <c r="K40" s="256">
        <f ca="1">IF(ISBLANK(J40), NETWORKDAYS(H40, TODAY(),fESTIVOS!$A$1:$A$18), NETWORKDAYS(H40, J40, fESTIVOS!$A$1:$A$18))</f>
        <v>2</v>
      </c>
      <c r="L40" s="253"/>
      <c r="M40" s="297"/>
      <c r="N40" s="312"/>
      <c r="O40" s="302"/>
      <c r="P40" s="263"/>
      <c r="Q40" s="263"/>
      <c r="R40" s="263"/>
      <c r="S40" s="263"/>
      <c r="T40" s="263"/>
      <c r="U40" s="263"/>
      <c r="V40" s="263"/>
      <c r="W40" s="305" t="s">
        <v>738</v>
      </c>
      <c r="X40" s="305" t="s">
        <v>739</v>
      </c>
      <c r="Y40" s="306"/>
      <c r="Z40" s="306"/>
      <c r="AA40" s="306"/>
      <c r="AB40" s="306"/>
      <c r="AC40" s="306"/>
      <c r="AD40" s="306"/>
      <c r="AE40" s="306"/>
      <c r="AF40" s="306"/>
      <c r="AG40" s="306"/>
      <c r="AH40" s="306"/>
      <c r="AI40" s="306"/>
      <c r="AJ40" s="306"/>
      <c r="AK40" s="306"/>
      <c r="AL40" s="306"/>
      <c r="AM40" s="306"/>
      <c r="AN40" s="306"/>
    </row>
    <row r="41" spans="1:40" ht="29.25" customHeight="1">
      <c r="A41" s="295" t="s">
        <v>740</v>
      </c>
      <c r="B41" s="307" t="s">
        <v>741</v>
      </c>
      <c r="C41" s="264" t="s">
        <v>742</v>
      </c>
      <c r="D41" s="300" t="s">
        <v>37</v>
      </c>
      <c r="E41" s="301"/>
      <c r="F41" s="301"/>
      <c r="G41" s="297">
        <v>45789</v>
      </c>
      <c r="H41" s="298">
        <v>45789</v>
      </c>
      <c r="I41" s="298"/>
      <c r="J41" s="298">
        <v>45790</v>
      </c>
      <c r="K41" s="256">
        <f ca="1">IF(ISBLANK(J41), NETWORKDAYS(H41, TODAY(),fESTIVOS!$A$1:$A$18), NETWORKDAYS(H41, J41, fESTIVOS!$A$1:$A$18))</f>
        <v>2</v>
      </c>
      <c r="L41" s="253"/>
      <c r="M41" s="297"/>
      <c r="N41" s="312"/>
      <c r="O41" s="302"/>
      <c r="P41" s="263"/>
      <c r="Q41" s="263"/>
      <c r="R41" s="263"/>
      <c r="S41" s="263"/>
      <c r="T41" s="263"/>
      <c r="U41" s="263"/>
      <c r="V41" s="263"/>
      <c r="W41" s="305" t="s">
        <v>738</v>
      </c>
      <c r="X41" s="305" t="s">
        <v>743</v>
      </c>
      <c r="Y41" s="306"/>
      <c r="Z41" s="306"/>
      <c r="AA41" s="306"/>
      <c r="AB41" s="306"/>
      <c r="AC41" s="306"/>
      <c r="AD41" s="306"/>
      <c r="AE41" s="306"/>
      <c r="AF41" s="306"/>
      <c r="AG41" s="306"/>
      <c r="AH41" s="306"/>
      <c r="AI41" s="306"/>
      <c r="AJ41" s="306"/>
      <c r="AK41" s="306"/>
      <c r="AL41" s="306"/>
      <c r="AM41" s="306"/>
      <c r="AN41" s="306"/>
    </row>
    <row r="42" spans="1:40" ht="29.25" customHeight="1">
      <c r="A42" s="295" t="s">
        <v>693</v>
      </c>
      <c r="B42" s="324" t="s">
        <v>744</v>
      </c>
      <c r="C42" s="290" t="s">
        <v>745</v>
      </c>
      <c r="D42" s="300" t="s">
        <v>37</v>
      </c>
      <c r="E42" s="265">
        <v>90</v>
      </c>
      <c r="F42" s="301"/>
      <c r="G42" s="297">
        <v>45791</v>
      </c>
      <c r="H42" s="298">
        <v>45792</v>
      </c>
      <c r="I42" s="298">
        <v>45793</v>
      </c>
      <c r="J42" s="298">
        <v>45793</v>
      </c>
      <c r="K42" s="256">
        <f ca="1">IF(ISBLANK(J42), NETWORKDAYS(H42, TODAY(),fESTIVOS!$A$1:$A$18), NETWORKDAYS(H42, J42, fESTIVOS!$A$1:$A$18))</f>
        <v>2</v>
      </c>
      <c r="L42" s="253"/>
      <c r="M42" s="297">
        <v>45793</v>
      </c>
      <c r="N42" s="312"/>
      <c r="O42" s="304"/>
      <c r="P42" s="263"/>
      <c r="Q42" s="263"/>
      <c r="R42" s="263"/>
      <c r="S42" s="263"/>
      <c r="T42" s="263"/>
      <c r="U42" s="263"/>
      <c r="V42" s="263"/>
      <c r="W42" s="263"/>
      <c r="X42" s="263"/>
      <c r="Y42" s="263"/>
      <c r="Z42" s="305" t="s">
        <v>746</v>
      </c>
      <c r="AA42" s="305" t="s">
        <v>747</v>
      </c>
      <c r="AB42" s="306"/>
      <c r="AC42" s="306"/>
      <c r="AD42" s="306"/>
      <c r="AE42" s="306"/>
      <c r="AF42" s="306"/>
      <c r="AG42" s="306"/>
      <c r="AH42" s="306"/>
      <c r="AI42" s="306"/>
      <c r="AJ42" s="306"/>
      <c r="AK42" s="306"/>
      <c r="AL42" s="306"/>
      <c r="AM42" s="306"/>
      <c r="AN42" s="306"/>
    </row>
    <row r="43" spans="1:40" ht="29.25" customHeight="1">
      <c r="A43" s="295" t="s">
        <v>693</v>
      </c>
      <c r="B43" s="325" t="s">
        <v>748</v>
      </c>
      <c r="C43" s="290" t="s">
        <v>749</v>
      </c>
      <c r="D43" s="300" t="s">
        <v>37</v>
      </c>
      <c r="E43" s="265">
        <v>0</v>
      </c>
      <c r="F43" s="301"/>
      <c r="G43" s="297">
        <v>45796</v>
      </c>
      <c r="H43" s="298">
        <v>45796</v>
      </c>
      <c r="I43" s="298"/>
      <c r="J43" s="298">
        <v>45796</v>
      </c>
      <c r="K43" s="256">
        <f ca="1">IF(ISBLANK(J43), NETWORKDAYS(H43, TODAY(),fESTIVOS!$A$1:$A$18), NETWORKDAYS(H43, J43, fESTIVOS!$A$1:$A$18))</f>
        <v>1</v>
      </c>
      <c r="L43" s="253"/>
      <c r="M43" s="297"/>
      <c r="N43" s="312"/>
      <c r="O43" s="304"/>
      <c r="P43" s="263"/>
      <c r="Q43" s="263"/>
      <c r="R43" s="263"/>
      <c r="S43" s="263"/>
      <c r="T43" s="263"/>
      <c r="U43" s="263"/>
      <c r="V43" s="263"/>
      <c r="W43" s="263"/>
      <c r="X43" s="263"/>
      <c r="Y43" s="263"/>
      <c r="Z43" s="305"/>
      <c r="AA43" s="305" t="s">
        <v>750</v>
      </c>
      <c r="AB43" s="306"/>
      <c r="AC43" s="306"/>
      <c r="AD43" s="306"/>
      <c r="AE43" s="306"/>
      <c r="AF43" s="306"/>
      <c r="AG43" s="306"/>
      <c r="AH43" s="306"/>
      <c r="AI43" s="306"/>
      <c r="AJ43" s="306"/>
      <c r="AK43" s="306"/>
      <c r="AL43" s="306"/>
      <c r="AM43" s="306"/>
      <c r="AN43" s="306"/>
    </row>
    <row r="44" spans="1:40" ht="29.25" customHeight="1">
      <c r="A44" s="295" t="s">
        <v>693</v>
      </c>
      <c r="B44" s="325" t="s">
        <v>751</v>
      </c>
      <c r="C44" s="290" t="s">
        <v>752</v>
      </c>
      <c r="D44" s="300" t="s">
        <v>37</v>
      </c>
      <c r="E44" s="265">
        <v>80</v>
      </c>
      <c r="F44" s="301"/>
      <c r="G44" s="297">
        <v>45796</v>
      </c>
      <c r="H44" s="298">
        <v>45796</v>
      </c>
      <c r="I44" s="298"/>
      <c r="J44" s="298">
        <v>45796</v>
      </c>
      <c r="K44" s="256">
        <f ca="1">IF(ISBLANK(J44), NETWORKDAYS(H44, TODAY(),fESTIVOS!$A$1:$A$18), NETWORKDAYS(H44, J44, fESTIVOS!$A$1:$A$18))</f>
        <v>1</v>
      </c>
      <c r="L44" s="253"/>
      <c r="M44" s="297"/>
      <c r="N44" s="312"/>
      <c r="O44" s="304"/>
      <c r="P44" s="263"/>
      <c r="Q44" s="263"/>
      <c r="R44" s="263"/>
      <c r="S44" s="263"/>
      <c r="T44" s="263"/>
      <c r="U44" s="263"/>
      <c r="V44" s="263"/>
      <c r="W44" s="263"/>
      <c r="X44" s="263"/>
      <c r="Y44" s="263"/>
      <c r="Z44" s="305"/>
      <c r="AA44" s="305" t="s">
        <v>753</v>
      </c>
      <c r="AB44" s="305" t="s">
        <v>754</v>
      </c>
      <c r="AC44" s="306"/>
      <c r="AD44" s="306"/>
      <c r="AE44" s="306"/>
      <c r="AF44" s="306"/>
      <c r="AG44" s="306"/>
      <c r="AH44" s="306"/>
      <c r="AI44" s="306"/>
      <c r="AJ44" s="306"/>
      <c r="AK44" s="306"/>
      <c r="AL44" s="306"/>
      <c r="AM44" s="306"/>
      <c r="AN44" s="306"/>
    </row>
    <row r="45" spans="1:40" ht="29.25" customHeight="1">
      <c r="A45" s="295" t="s">
        <v>693</v>
      </c>
      <c r="B45" s="325" t="s">
        <v>755</v>
      </c>
      <c r="C45" s="264" t="s">
        <v>756</v>
      </c>
      <c r="D45" s="300" t="s">
        <v>37</v>
      </c>
      <c r="E45" s="265"/>
      <c r="F45" s="301"/>
      <c r="G45" s="297">
        <v>45797</v>
      </c>
      <c r="H45" s="298">
        <v>45798</v>
      </c>
      <c r="I45" s="298"/>
      <c r="J45" s="298">
        <v>45799</v>
      </c>
      <c r="K45" s="256">
        <f ca="1">IF(ISBLANK(J45), NETWORKDAYS(H45, TODAY(),fESTIVOS!$A$1:$A$18), NETWORKDAYS(H45, J45, fESTIVOS!$A$1:$A$18))</f>
        <v>2</v>
      </c>
      <c r="L45" s="253"/>
      <c r="M45" s="297">
        <v>45799</v>
      </c>
      <c r="N45" s="312"/>
      <c r="O45" s="304"/>
      <c r="P45" s="263"/>
      <c r="Q45" s="263"/>
      <c r="R45" s="263"/>
      <c r="S45" s="263"/>
      <c r="T45" s="263"/>
      <c r="U45" s="263"/>
      <c r="V45" s="263"/>
      <c r="W45" s="263"/>
      <c r="X45" s="263"/>
      <c r="Y45" s="263"/>
      <c r="Z45" s="305"/>
      <c r="AA45" s="305"/>
      <c r="AB45" s="305" t="s">
        <v>757</v>
      </c>
      <c r="AC45" s="305" t="s">
        <v>758</v>
      </c>
    </row>
    <row r="46" spans="1:40" ht="29.25" customHeight="1">
      <c r="A46" s="295" t="s">
        <v>693</v>
      </c>
      <c r="B46" s="325" t="s">
        <v>755</v>
      </c>
      <c r="C46" s="264" t="s">
        <v>759</v>
      </c>
      <c r="D46" s="300" t="s">
        <v>37</v>
      </c>
      <c r="E46" s="265"/>
      <c r="F46" s="301"/>
      <c r="G46" s="297">
        <v>45797</v>
      </c>
      <c r="H46" s="298">
        <v>45797</v>
      </c>
      <c r="I46" s="298"/>
      <c r="J46" s="298">
        <v>45799</v>
      </c>
      <c r="K46" s="256">
        <f ca="1">IF(ISBLANK(J46), NETWORKDAYS(H46, TODAY(),fESTIVOS!$A$1:$A$18), NETWORKDAYS(H46, J46, fESTIVOS!$A$1:$A$18))</f>
        <v>3</v>
      </c>
      <c r="L46" s="253"/>
      <c r="M46" s="297"/>
      <c r="N46" s="312"/>
      <c r="O46" s="304"/>
      <c r="P46" s="263"/>
      <c r="Q46" s="263"/>
      <c r="R46" s="263"/>
      <c r="S46" s="263"/>
      <c r="T46" s="263"/>
      <c r="U46" s="263"/>
      <c r="V46" s="263"/>
      <c r="W46" s="263"/>
      <c r="X46" s="263"/>
      <c r="Y46" s="263"/>
      <c r="Z46" s="305"/>
      <c r="AA46" s="305"/>
      <c r="AB46" s="305" t="s">
        <v>760</v>
      </c>
      <c r="AC46" s="305" t="s">
        <v>761</v>
      </c>
      <c r="AD46" s="306"/>
      <c r="AE46" s="306"/>
      <c r="AF46" s="306"/>
      <c r="AG46" s="306"/>
      <c r="AH46" s="306"/>
      <c r="AI46" s="306"/>
      <c r="AJ46" s="306"/>
      <c r="AK46" s="306"/>
      <c r="AL46" s="306"/>
      <c r="AM46" s="306"/>
      <c r="AN46" s="306"/>
    </row>
    <row r="47" spans="1:40" ht="29.25" customHeight="1">
      <c r="A47" s="295" t="s">
        <v>693</v>
      </c>
      <c r="B47" s="325" t="s">
        <v>762</v>
      </c>
      <c r="C47" s="264" t="s">
        <v>763</v>
      </c>
      <c r="D47" s="300" t="s">
        <v>37</v>
      </c>
      <c r="E47" s="265"/>
      <c r="F47" s="301"/>
      <c r="G47" s="297">
        <v>45799</v>
      </c>
      <c r="H47" s="298">
        <v>45799</v>
      </c>
      <c r="I47" s="298"/>
      <c r="J47" s="298">
        <v>45799</v>
      </c>
      <c r="K47" s="256">
        <f ca="1">IF(ISBLANK(J47), NETWORKDAYS(H47, TODAY(),fESTIVOS!$A$1:$A$18), NETWORKDAYS(H47, J47, fESTIVOS!$A$1:$A$18))</f>
        <v>1</v>
      </c>
      <c r="L47" s="253"/>
      <c r="M47" s="297"/>
      <c r="N47" s="312"/>
      <c r="O47" s="304"/>
      <c r="P47" s="263"/>
      <c r="Q47" s="263"/>
      <c r="R47" s="263"/>
      <c r="S47" s="263"/>
      <c r="T47" s="263"/>
      <c r="U47" s="263"/>
      <c r="V47" s="263"/>
      <c r="W47" s="263"/>
      <c r="X47" s="263"/>
      <c r="Y47" s="263"/>
      <c r="Z47" s="305"/>
      <c r="AA47" s="305"/>
      <c r="AB47" s="305"/>
      <c r="AC47" s="305" t="s">
        <v>764</v>
      </c>
      <c r="AD47" s="306"/>
      <c r="AE47" s="306"/>
      <c r="AF47" s="306"/>
      <c r="AG47" s="306"/>
      <c r="AH47" s="306"/>
      <c r="AI47" s="306"/>
      <c r="AJ47" s="306"/>
      <c r="AK47" s="306"/>
      <c r="AL47" s="306"/>
      <c r="AM47" s="306"/>
      <c r="AN47" s="306"/>
    </row>
    <row r="48" spans="1:40" ht="29.25" customHeight="1">
      <c r="A48" s="295" t="s">
        <v>693</v>
      </c>
      <c r="B48" s="325" t="s">
        <v>765</v>
      </c>
      <c r="C48" s="264" t="s">
        <v>766</v>
      </c>
      <c r="D48" s="300" t="s">
        <v>37</v>
      </c>
      <c r="E48" s="265"/>
      <c r="F48" s="301"/>
      <c r="G48" s="297">
        <v>45798</v>
      </c>
      <c r="H48" s="298">
        <v>45799</v>
      </c>
      <c r="I48" s="298"/>
      <c r="J48" s="298">
        <v>45799</v>
      </c>
      <c r="K48" s="256">
        <f ca="1">IF(ISBLANK(J48), NETWORKDAYS(H48, TODAY(),fESTIVOS!$A$1:$A$18), NETWORKDAYS(H48, J48, fESTIVOS!$A$1:$A$18))</f>
        <v>1</v>
      </c>
      <c r="L48" s="253"/>
      <c r="M48" s="297"/>
      <c r="N48" s="312"/>
      <c r="O48" s="304"/>
      <c r="P48" s="263"/>
      <c r="Q48" s="263"/>
      <c r="R48" s="263"/>
      <c r="S48" s="263"/>
      <c r="T48" s="263"/>
      <c r="U48" s="263"/>
      <c r="V48" s="263"/>
      <c r="W48" s="263"/>
      <c r="X48" s="263"/>
      <c r="Y48" s="263"/>
      <c r="Z48" s="305"/>
      <c r="AA48" s="305"/>
      <c r="AB48" s="305"/>
      <c r="AC48" s="306"/>
      <c r="AD48" s="306"/>
      <c r="AE48" s="306"/>
      <c r="AF48" s="306"/>
      <c r="AG48" s="306"/>
      <c r="AH48" s="306"/>
      <c r="AI48" s="306"/>
      <c r="AJ48" s="306"/>
      <c r="AK48" s="306"/>
      <c r="AL48" s="306"/>
      <c r="AM48" s="306"/>
      <c r="AN48" s="306"/>
    </row>
    <row r="49" spans="1:40" ht="29.25" customHeight="1">
      <c r="A49" s="295" t="s">
        <v>693</v>
      </c>
      <c r="B49" s="325" t="s">
        <v>767</v>
      </c>
      <c r="C49" s="264" t="s">
        <v>768</v>
      </c>
      <c r="D49" s="300" t="s">
        <v>37</v>
      </c>
      <c r="E49" s="265"/>
      <c r="F49" s="301"/>
      <c r="G49" s="297">
        <v>45799</v>
      </c>
      <c r="H49" s="298">
        <v>45799</v>
      </c>
      <c r="I49" s="298"/>
      <c r="J49" s="298">
        <v>45799</v>
      </c>
      <c r="K49" s="256">
        <f ca="1">IF(ISBLANK(J49), NETWORKDAYS(H49, TODAY(),fESTIVOS!$A$1:$A$18), NETWORKDAYS(H49, J49, fESTIVOS!$A$1:$A$18))</f>
        <v>1</v>
      </c>
      <c r="L49" s="253"/>
      <c r="M49" s="297"/>
      <c r="N49" s="312"/>
      <c r="O49" s="304"/>
      <c r="P49" s="263"/>
      <c r="Q49" s="263"/>
      <c r="R49" s="263"/>
      <c r="S49" s="263"/>
      <c r="T49" s="263"/>
      <c r="U49" s="263"/>
      <c r="V49" s="263"/>
      <c r="W49" s="263"/>
      <c r="X49" s="263"/>
      <c r="Y49" s="263"/>
      <c r="Z49" s="305"/>
      <c r="AA49" s="305"/>
      <c r="AB49" s="305"/>
      <c r="AC49" s="306"/>
      <c r="AD49" s="306"/>
      <c r="AE49" s="306"/>
      <c r="AF49" s="306"/>
      <c r="AG49" s="306"/>
      <c r="AH49" s="306"/>
      <c r="AI49" s="306"/>
      <c r="AJ49" s="306"/>
      <c r="AK49" s="306"/>
      <c r="AL49" s="306"/>
      <c r="AM49" s="306"/>
      <c r="AN49" s="306"/>
    </row>
    <row r="50" spans="1:40" ht="29.25" customHeight="1">
      <c r="A50" s="295" t="s">
        <v>693</v>
      </c>
      <c r="B50" s="325" t="s">
        <v>703</v>
      </c>
      <c r="C50" s="264" t="s">
        <v>769</v>
      </c>
      <c r="D50" s="300" t="s">
        <v>37</v>
      </c>
      <c r="E50" s="265"/>
      <c r="F50" s="301"/>
      <c r="G50" s="297">
        <v>45796</v>
      </c>
      <c r="H50" s="298">
        <v>45798</v>
      </c>
      <c r="I50" s="298"/>
      <c r="J50" s="298">
        <v>45798</v>
      </c>
      <c r="K50" s="256">
        <f ca="1">IF(ISBLANK(J50), NETWORKDAYS(H50, TODAY(),fESTIVOS!$A$1:$A$18), NETWORKDAYS(H50, J50, fESTIVOS!$A$1:$A$18))</f>
        <v>1</v>
      </c>
      <c r="L50" s="253"/>
      <c r="M50" s="297"/>
      <c r="N50" s="312"/>
      <c r="O50" s="304"/>
      <c r="P50" s="263"/>
      <c r="Q50" s="263"/>
      <c r="R50" s="263"/>
      <c r="S50" s="263"/>
      <c r="T50" s="263"/>
      <c r="U50" s="263"/>
      <c r="V50" s="263"/>
      <c r="W50" s="263"/>
      <c r="X50" s="263"/>
      <c r="Y50" s="263"/>
      <c r="Z50" s="305"/>
      <c r="AA50" s="305"/>
      <c r="AB50" s="305" t="s">
        <v>770</v>
      </c>
      <c r="AC50" s="306"/>
      <c r="AD50" s="306"/>
      <c r="AE50" s="306"/>
      <c r="AF50" s="306"/>
      <c r="AG50" s="306"/>
      <c r="AH50" s="306"/>
      <c r="AI50" s="306"/>
      <c r="AJ50" s="306"/>
      <c r="AK50" s="306"/>
      <c r="AL50" s="306"/>
      <c r="AM50" s="306"/>
      <c r="AN50" s="306"/>
    </row>
    <row r="51" spans="1:40" ht="29.25" customHeight="1">
      <c r="A51" s="295" t="s">
        <v>693</v>
      </c>
      <c r="B51" s="307" t="s">
        <v>771</v>
      </c>
      <c r="C51" s="290" t="s">
        <v>772</v>
      </c>
      <c r="D51" s="300" t="s">
        <v>37</v>
      </c>
      <c r="E51" s="301"/>
      <c r="F51" s="301"/>
      <c r="G51" s="297">
        <v>45791</v>
      </c>
      <c r="H51" s="298">
        <v>45792</v>
      </c>
      <c r="I51" s="298"/>
      <c r="J51" s="298">
        <v>45792</v>
      </c>
      <c r="K51" s="256">
        <f ca="1">IF(ISBLANK(J51), NETWORKDAYS(H51, TODAY(),fESTIVOS!$A$1:$A$18), NETWORKDAYS(H51, J51, fESTIVOS!$A$1:$A$18))</f>
        <v>1</v>
      </c>
      <c r="L51" s="253"/>
      <c r="M51" s="297"/>
      <c r="N51" s="312"/>
      <c r="O51" s="304"/>
      <c r="P51" s="263"/>
      <c r="Q51" s="263"/>
      <c r="R51" s="263"/>
      <c r="S51" s="263"/>
      <c r="T51" s="263"/>
      <c r="U51" s="263"/>
      <c r="V51" s="263"/>
      <c r="W51" s="263"/>
      <c r="X51" s="263"/>
      <c r="Y51" s="305" t="s">
        <v>773</v>
      </c>
      <c r="Z51" s="306"/>
      <c r="AA51" s="306"/>
      <c r="AB51" s="306"/>
      <c r="AC51" s="306"/>
      <c r="AD51" s="306"/>
      <c r="AE51" s="306"/>
      <c r="AF51" s="306"/>
      <c r="AG51" s="306"/>
      <c r="AH51" s="306"/>
      <c r="AI51" s="306"/>
      <c r="AJ51" s="306"/>
      <c r="AK51" s="306"/>
      <c r="AL51" s="306"/>
      <c r="AM51" s="306"/>
      <c r="AN51" s="306"/>
    </row>
    <row r="52" spans="1:40" ht="29.25" customHeight="1">
      <c r="A52" s="250" t="s">
        <v>596</v>
      </c>
      <c r="B52" s="265" t="s">
        <v>774</v>
      </c>
      <c r="C52" s="290" t="s">
        <v>775</v>
      </c>
      <c r="D52" s="300" t="s">
        <v>37</v>
      </c>
      <c r="E52" s="265">
        <v>80</v>
      </c>
      <c r="F52" s="253"/>
      <c r="G52" s="297">
        <v>45763</v>
      </c>
      <c r="H52" s="298">
        <v>45779</v>
      </c>
      <c r="I52" s="298">
        <v>45776</v>
      </c>
      <c r="J52" s="298">
        <v>45799</v>
      </c>
      <c r="K52" s="256">
        <f ca="1">IF(ISBLANK(J52), NETWORKDAYS(H52, TODAY(),fESTIVOS!$A$1:$A$18), NETWORKDAYS(H52, J52, fESTIVOS!$A$1:$A$18))</f>
        <v>15</v>
      </c>
      <c r="L52" s="326" t="s">
        <v>776</v>
      </c>
      <c r="M52" s="297">
        <v>45777</v>
      </c>
      <c r="N52" s="300" t="s">
        <v>777</v>
      </c>
      <c r="O52" s="302">
        <v>45799</v>
      </c>
      <c r="P52" s="262"/>
      <c r="Q52" s="305" t="s">
        <v>778</v>
      </c>
      <c r="R52" s="305" t="s">
        <v>779</v>
      </c>
      <c r="S52" s="305" t="s">
        <v>780</v>
      </c>
      <c r="T52" s="306"/>
      <c r="U52" s="306"/>
      <c r="V52" s="306"/>
      <c r="W52" s="305" t="s">
        <v>781</v>
      </c>
      <c r="X52" s="305" t="s">
        <v>782</v>
      </c>
      <c r="Y52" s="306"/>
      <c r="Z52" s="305" t="s">
        <v>783</v>
      </c>
      <c r="AA52" s="305" t="s">
        <v>784</v>
      </c>
      <c r="AB52" s="305" t="s">
        <v>785</v>
      </c>
      <c r="AC52" s="305" t="s">
        <v>786</v>
      </c>
      <c r="AD52" s="306"/>
      <c r="AE52" s="306"/>
      <c r="AF52" s="306"/>
      <c r="AG52" s="306"/>
      <c r="AH52" s="306"/>
      <c r="AI52" s="306"/>
      <c r="AJ52" s="306"/>
      <c r="AK52" s="306"/>
      <c r="AL52" s="306"/>
      <c r="AM52" s="306"/>
      <c r="AN52" s="306"/>
    </row>
    <row r="53" spans="1:40" ht="29.25" customHeight="1">
      <c r="A53" s="309" t="s">
        <v>718</v>
      </c>
      <c r="B53" s="310"/>
      <c r="C53" s="252" t="s">
        <v>719</v>
      </c>
      <c r="D53" s="52" t="s">
        <v>37</v>
      </c>
      <c r="E53" s="253"/>
      <c r="F53" s="253"/>
      <c r="G53" s="254">
        <v>45714</v>
      </c>
      <c r="H53" s="298">
        <v>45784</v>
      </c>
      <c r="I53" s="255"/>
      <c r="J53" s="298">
        <v>45785</v>
      </c>
      <c r="K53" s="311"/>
      <c r="L53" s="253"/>
      <c r="M53" s="254"/>
      <c r="N53" s="322"/>
      <c r="O53" s="257"/>
      <c r="P53" s="258" t="s">
        <v>720</v>
      </c>
      <c r="Q53" s="259"/>
      <c r="R53" s="259"/>
      <c r="S53" s="259"/>
      <c r="T53" s="259"/>
      <c r="U53" s="259"/>
      <c r="V53" s="259"/>
      <c r="W53" s="259"/>
      <c r="X53" s="259"/>
      <c r="Y53" s="259"/>
      <c r="Z53" s="259"/>
      <c r="AA53" s="259"/>
      <c r="AB53" s="259"/>
      <c r="AC53" s="259"/>
      <c r="AD53" s="259"/>
      <c r="AE53" s="259"/>
      <c r="AF53" s="259"/>
      <c r="AG53" s="259"/>
      <c r="AH53" s="259"/>
      <c r="AI53" s="259"/>
      <c r="AJ53" s="259"/>
      <c r="AK53" s="259"/>
      <c r="AL53" s="259"/>
      <c r="AM53" s="259"/>
      <c r="AN53" s="259"/>
    </row>
    <row r="54" spans="1:40" ht="29.25" customHeight="1">
      <c r="A54" s="327" t="s">
        <v>596</v>
      </c>
      <c r="B54" s="328" t="s">
        <v>787</v>
      </c>
      <c r="C54" s="329" t="s">
        <v>788</v>
      </c>
      <c r="D54" s="330" t="s">
        <v>37</v>
      </c>
      <c r="E54" s="265">
        <v>100</v>
      </c>
      <c r="F54" s="265"/>
      <c r="G54" s="331">
        <v>45800</v>
      </c>
      <c r="H54" s="298"/>
      <c r="I54" s="298"/>
      <c r="J54" s="298">
        <v>45804</v>
      </c>
      <c r="K54" s="265"/>
      <c r="L54" s="253"/>
      <c r="M54" s="297"/>
      <c r="N54" s="312"/>
      <c r="O54" s="304"/>
      <c r="P54" s="332"/>
      <c r="Q54" s="332"/>
      <c r="R54" s="332"/>
      <c r="S54" s="333"/>
      <c r="T54" s="334"/>
      <c r="U54" s="334"/>
      <c r="V54" s="333"/>
      <c r="W54" s="333"/>
      <c r="X54" s="333"/>
      <c r="Y54" s="334"/>
      <c r="Z54" s="334"/>
      <c r="AA54" s="333"/>
      <c r="AB54" s="333"/>
      <c r="AC54" s="333" t="s">
        <v>789</v>
      </c>
      <c r="AD54" s="334"/>
      <c r="AE54" s="305" t="s">
        <v>790</v>
      </c>
      <c r="AF54" s="305"/>
      <c r="AG54" s="305"/>
      <c r="AH54" s="305"/>
      <c r="AI54" s="305"/>
      <c r="AJ54" s="305"/>
      <c r="AK54" s="305"/>
      <c r="AL54" s="305"/>
      <c r="AM54" s="305"/>
      <c r="AN54" s="305"/>
    </row>
    <row r="55" spans="1:40" ht="29.25" customHeight="1">
      <c r="A55" s="335" t="s">
        <v>693</v>
      </c>
      <c r="B55" s="336" t="s">
        <v>755</v>
      </c>
      <c r="C55" s="337" t="s">
        <v>791</v>
      </c>
      <c r="D55" s="330" t="s">
        <v>37</v>
      </c>
      <c r="E55" s="265">
        <v>100</v>
      </c>
      <c r="F55" s="301"/>
      <c r="G55" s="297">
        <v>45798</v>
      </c>
      <c r="H55" s="298">
        <v>45803</v>
      </c>
      <c r="I55" s="298"/>
      <c r="J55" s="298">
        <v>45803</v>
      </c>
      <c r="K55" s="256">
        <f ca="1">IF(ISBLANK(J55), NETWORKDAYS(H55, TODAY(),fESTIVOS!$A$1:$A$18), NETWORKDAYS(H55, J55, fESTIVOS!$A$1:$A$18))</f>
        <v>1</v>
      </c>
      <c r="L55" s="253"/>
      <c r="M55" s="297"/>
      <c r="N55" s="312"/>
      <c r="O55" s="304">
        <v>45803</v>
      </c>
      <c r="P55" s="332"/>
      <c r="Q55" s="332"/>
      <c r="R55" s="332"/>
      <c r="S55" s="332"/>
      <c r="T55" s="332"/>
      <c r="U55" s="332"/>
      <c r="V55" s="332"/>
      <c r="W55" s="332"/>
      <c r="X55" s="332"/>
      <c r="Y55" s="332"/>
      <c r="Z55" s="333"/>
      <c r="AA55" s="333"/>
      <c r="AB55" s="333"/>
      <c r="AC55" s="333" t="s">
        <v>792</v>
      </c>
      <c r="AD55" s="333" t="s">
        <v>793</v>
      </c>
      <c r="AE55" s="305" t="s">
        <v>794</v>
      </c>
      <c r="AF55" s="305"/>
      <c r="AG55" s="305"/>
      <c r="AH55" s="305"/>
      <c r="AI55" s="305"/>
      <c r="AJ55" s="305"/>
      <c r="AK55" s="305"/>
      <c r="AL55" s="305"/>
      <c r="AM55" s="305"/>
      <c r="AN55" s="305"/>
    </row>
    <row r="56" spans="1:40" ht="29.25" customHeight="1">
      <c r="A56" s="335" t="s">
        <v>693</v>
      </c>
      <c r="B56" s="338" t="s">
        <v>795</v>
      </c>
      <c r="C56" s="337" t="s">
        <v>796</v>
      </c>
      <c r="D56" s="330" t="s">
        <v>37</v>
      </c>
      <c r="E56" s="301"/>
      <c r="F56" s="301"/>
      <c r="G56" s="297">
        <v>45804</v>
      </c>
      <c r="H56" s="298">
        <v>45804</v>
      </c>
      <c r="I56" s="298"/>
      <c r="J56" s="298">
        <v>45804</v>
      </c>
      <c r="K56" s="256">
        <f ca="1">IF(ISBLANK(J56), NETWORKDAYS(H56, TODAY(),fESTIVOS!$A$1:$A$18), NETWORKDAYS(H56, J56, fESTIVOS!$A$1:$A$18))</f>
        <v>1</v>
      </c>
      <c r="L56" s="253"/>
      <c r="M56" s="297"/>
      <c r="N56" s="312"/>
      <c r="O56" s="304"/>
      <c r="P56" s="332"/>
      <c r="Q56" s="332"/>
      <c r="R56" s="332"/>
      <c r="S56" s="332"/>
      <c r="T56" s="332"/>
      <c r="U56" s="332"/>
      <c r="V56" s="332"/>
      <c r="W56" s="332"/>
      <c r="X56" s="332"/>
      <c r="Y56" s="332"/>
      <c r="Z56" s="332"/>
      <c r="AA56" s="332"/>
      <c r="AB56" s="332"/>
      <c r="AC56" s="332"/>
      <c r="AD56" s="332"/>
      <c r="AE56" s="305" t="s">
        <v>797</v>
      </c>
      <c r="AF56" s="305"/>
      <c r="AG56" s="305"/>
      <c r="AH56" s="305"/>
      <c r="AI56" s="305"/>
      <c r="AJ56" s="305"/>
      <c r="AK56" s="305"/>
      <c r="AL56" s="305"/>
      <c r="AM56" s="305"/>
      <c r="AN56" s="305"/>
    </row>
    <row r="57" spans="1:40" ht="29.25" customHeight="1">
      <c r="A57" s="335" t="s">
        <v>693</v>
      </c>
      <c r="B57" s="307" t="s">
        <v>703</v>
      </c>
      <c r="C57" s="290" t="s">
        <v>798</v>
      </c>
      <c r="D57" s="300" t="s">
        <v>37</v>
      </c>
      <c r="E57" s="301"/>
      <c r="F57" s="301"/>
      <c r="G57" s="297">
        <v>45805</v>
      </c>
      <c r="H57" s="298">
        <v>45806</v>
      </c>
      <c r="I57" s="298"/>
      <c r="J57" s="298">
        <v>45806</v>
      </c>
      <c r="K57" s="256">
        <f ca="1">IF(ISBLANK(J57), NETWORKDAYS(H57, TODAY(),fESTIVOS!$A$1:$A$18), NETWORKDAYS(H57, J57, fESTIVOS!$A$1:$A$18))</f>
        <v>1</v>
      </c>
      <c r="L57" s="253"/>
      <c r="M57" s="297"/>
      <c r="N57" s="312"/>
      <c r="O57" s="304"/>
      <c r="P57" s="332"/>
      <c r="Q57" s="332"/>
      <c r="R57" s="332"/>
      <c r="S57" s="332"/>
      <c r="T57" s="332"/>
      <c r="U57" s="332"/>
      <c r="V57" s="332"/>
      <c r="W57" s="332"/>
      <c r="X57" s="332"/>
      <c r="Y57" s="332"/>
      <c r="Z57" s="332"/>
      <c r="AA57" s="332"/>
      <c r="AB57" s="332"/>
      <c r="AC57" s="332"/>
      <c r="AD57" s="332"/>
      <c r="AE57" s="263"/>
      <c r="AF57" s="305" t="s">
        <v>799</v>
      </c>
      <c r="AG57" s="305"/>
      <c r="AH57" s="305"/>
      <c r="AI57" s="305"/>
      <c r="AJ57" s="305"/>
      <c r="AK57" s="305"/>
      <c r="AL57" s="305"/>
      <c r="AM57" s="305"/>
      <c r="AN57" s="305"/>
    </row>
    <row r="58" spans="1:40" ht="29.25" customHeight="1">
      <c r="A58" s="335" t="s">
        <v>693</v>
      </c>
      <c r="B58" s="307" t="s">
        <v>800</v>
      </c>
      <c r="C58" s="290" t="s">
        <v>801</v>
      </c>
      <c r="D58" s="300" t="s">
        <v>37</v>
      </c>
      <c r="E58" s="301"/>
      <c r="F58" s="301"/>
      <c r="G58" s="297">
        <v>45807</v>
      </c>
      <c r="H58" s="298">
        <v>45807</v>
      </c>
      <c r="I58" s="298"/>
      <c r="J58" s="298">
        <v>45811</v>
      </c>
      <c r="K58" s="256">
        <f ca="1">IF(ISBLANK(J58), NETWORKDAYS(H58, TODAY(),fESTIVOS!$A$1:$A$18), NETWORKDAYS(H58, J58, fESTIVOS!$A$1:$A$18))</f>
        <v>3</v>
      </c>
      <c r="L58" s="253"/>
      <c r="M58" s="297"/>
      <c r="N58" s="312"/>
      <c r="O58" s="304"/>
      <c r="P58" s="332"/>
      <c r="Q58" s="332"/>
      <c r="R58" s="332"/>
      <c r="S58" s="332"/>
      <c r="T58" s="332"/>
      <c r="U58" s="332"/>
      <c r="V58" s="332"/>
      <c r="W58" s="332"/>
      <c r="X58" s="332"/>
      <c r="Y58" s="332"/>
      <c r="Z58" s="332"/>
      <c r="AA58" s="332"/>
      <c r="AB58" s="332"/>
      <c r="AC58" s="332"/>
      <c r="AD58" s="332"/>
      <c r="AE58" s="332"/>
      <c r="AF58" s="333" t="s">
        <v>802</v>
      </c>
      <c r="AG58" s="305"/>
      <c r="AH58" s="305"/>
      <c r="AI58" s="305"/>
      <c r="AJ58" s="305"/>
      <c r="AK58" s="305"/>
      <c r="AL58" s="305"/>
      <c r="AM58" s="305"/>
      <c r="AN58" s="305"/>
    </row>
    <row r="59" spans="1:40" ht="29.25" customHeight="1">
      <c r="A59" s="335" t="s">
        <v>693</v>
      </c>
      <c r="B59" s="307" t="s">
        <v>703</v>
      </c>
      <c r="C59" s="290" t="s">
        <v>803</v>
      </c>
      <c r="D59" s="300" t="s">
        <v>37</v>
      </c>
      <c r="E59" s="301"/>
      <c r="F59" s="301"/>
      <c r="G59" s="297">
        <v>45811</v>
      </c>
      <c r="H59" s="298">
        <v>45812</v>
      </c>
      <c r="I59" s="298"/>
      <c r="J59" s="298">
        <v>45812</v>
      </c>
      <c r="K59" s="256">
        <f ca="1">IF(ISBLANK(J59), NETWORKDAYS(H59, TODAY(),fESTIVOS!$A$1:$A$18), NETWORKDAYS(H59, J59, fESTIVOS!$A$1:$A$18))</f>
        <v>1</v>
      </c>
      <c r="L59" s="253"/>
      <c r="M59" s="297"/>
      <c r="N59" s="312"/>
      <c r="O59" s="304"/>
      <c r="P59" s="332"/>
      <c r="Q59" s="332"/>
      <c r="R59" s="332"/>
      <c r="S59" s="332"/>
      <c r="T59" s="332"/>
      <c r="U59" s="332"/>
      <c r="V59" s="332"/>
      <c r="W59" s="332"/>
      <c r="X59" s="332"/>
      <c r="Y59" s="332"/>
      <c r="Z59" s="332"/>
      <c r="AA59" s="332"/>
      <c r="AB59" s="332"/>
      <c r="AC59" s="332"/>
      <c r="AD59" s="332"/>
      <c r="AE59" s="332"/>
      <c r="AF59" s="332"/>
      <c r="AG59" s="305" t="s">
        <v>804</v>
      </c>
      <c r="AH59" s="305"/>
      <c r="AI59" s="305"/>
      <c r="AJ59" s="305"/>
      <c r="AK59" s="305"/>
      <c r="AL59" s="305"/>
      <c r="AM59" s="305"/>
      <c r="AN59" s="305"/>
    </row>
    <row r="60" spans="1:40" ht="29.25" customHeight="1">
      <c r="A60" s="335" t="s">
        <v>693</v>
      </c>
      <c r="B60" s="338" t="s">
        <v>43</v>
      </c>
      <c r="C60" s="337" t="s">
        <v>805</v>
      </c>
      <c r="D60" s="300" t="s">
        <v>37</v>
      </c>
      <c r="E60" s="301"/>
      <c r="F60" s="301"/>
      <c r="G60" s="297">
        <v>45811</v>
      </c>
      <c r="H60" s="298">
        <v>45811</v>
      </c>
      <c r="I60" s="298"/>
      <c r="J60" s="298">
        <v>45814</v>
      </c>
      <c r="K60" s="256">
        <f ca="1">IF(ISBLANK(J60), NETWORKDAYS(H60, TODAY(),fESTIVOS!$A$1:$A$18), NETWORKDAYS(H60, J60, fESTIVOS!$A$1:$A$18))</f>
        <v>4</v>
      </c>
      <c r="L60" s="253"/>
      <c r="M60" s="297">
        <v>45811</v>
      </c>
      <c r="N60" s="312"/>
      <c r="O60" s="304">
        <v>45814</v>
      </c>
      <c r="P60" s="332"/>
      <c r="Q60" s="332"/>
      <c r="R60" s="332"/>
      <c r="S60" s="332"/>
      <c r="T60" s="332"/>
      <c r="U60" s="332"/>
      <c r="V60" s="332"/>
      <c r="W60" s="332"/>
      <c r="X60" s="332"/>
      <c r="Y60" s="332"/>
      <c r="Z60" s="332"/>
      <c r="AA60" s="332"/>
      <c r="AB60" s="332"/>
      <c r="AC60" s="332"/>
      <c r="AD60" s="332"/>
      <c r="AE60" s="263"/>
      <c r="AF60" s="305" t="s">
        <v>806</v>
      </c>
      <c r="AG60" s="305" t="s">
        <v>807</v>
      </c>
      <c r="AH60" s="305" t="s">
        <v>808</v>
      </c>
      <c r="AI60" s="305" t="s">
        <v>809</v>
      </c>
      <c r="AJ60" s="305"/>
      <c r="AK60" s="305"/>
      <c r="AL60" s="305"/>
      <c r="AM60" s="305"/>
      <c r="AN60" s="305"/>
    </row>
    <row r="61" spans="1:40" ht="29.25" customHeight="1">
      <c r="A61" s="335" t="s">
        <v>621</v>
      </c>
      <c r="B61" s="339" t="s">
        <v>810</v>
      </c>
      <c r="C61" s="329" t="s">
        <v>811</v>
      </c>
      <c r="D61" s="330" t="s">
        <v>37</v>
      </c>
      <c r="E61" s="265">
        <v>95</v>
      </c>
      <c r="F61" s="265">
        <v>3</v>
      </c>
      <c r="G61" s="297">
        <v>45784</v>
      </c>
      <c r="H61" s="298">
        <v>45784</v>
      </c>
      <c r="I61" s="298">
        <v>45786</v>
      </c>
      <c r="J61" s="298">
        <v>45803</v>
      </c>
      <c r="K61" s="321">
        <f ca="1">IF(ISBLANK(J61), NETWORKDAYS(H61, TODAY(),fESTIVOS!$A$1:$A$18), NETWORKDAYS(H61, J61, fESTIVOS!$A$1:$A$18))</f>
        <v>14</v>
      </c>
      <c r="L61" s="253"/>
      <c r="M61" s="297">
        <v>45786</v>
      </c>
      <c r="N61" s="322"/>
      <c r="O61" s="302">
        <v>45814</v>
      </c>
      <c r="P61" s="258"/>
      <c r="Q61" s="340"/>
      <c r="R61" s="340"/>
      <c r="S61" s="340"/>
      <c r="T61" s="341" t="s">
        <v>812</v>
      </c>
      <c r="U61" s="342"/>
      <c r="V61" s="341" t="s">
        <v>813</v>
      </c>
      <c r="W61" s="341" t="s">
        <v>814</v>
      </c>
      <c r="X61" s="341" t="s">
        <v>815</v>
      </c>
      <c r="Y61" s="342"/>
      <c r="Z61" s="342"/>
      <c r="AA61" s="342"/>
      <c r="AB61" s="342"/>
      <c r="AC61" s="342"/>
      <c r="AD61" s="342"/>
      <c r="AE61" s="269"/>
      <c r="AF61" s="269"/>
      <c r="AG61" s="268" t="s">
        <v>816</v>
      </c>
      <c r="AH61" s="268" t="s">
        <v>817</v>
      </c>
      <c r="AI61" s="268" t="s">
        <v>818</v>
      </c>
      <c r="AJ61" s="268"/>
      <c r="AK61" s="268"/>
      <c r="AL61" s="268"/>
      <c r="AM61" s="268"/>
      <c r="AN61" s="268"/>
    </row>
    <row r="62" spans="1:40" ht="29.25" customHeight="1">
      <c r="A62" s="335" t="s">
        <v>693</v>
      </c>
      <c r="B62" s="307" t="s">
        <v>819</v>
      </c>
      <c r="C62" s="290" t="s">
        <v>820</v>
      </c>
      <c r="D62" s="300" t="s">
        <v>37</v>
      </c>
      <c r="E62" s="301"/>
      <c r="F62" s="301"/>
      <c r="G62" s="297">
        <v>45818</v>
      </c>
      <c r="H62" s="298">
        <v>45818</v>
      </c>
      <c r="I62" s="298"/>
      <c r="J62" s="298">
        <v>45818</v>
      </c>
      <c r="K62" s="256">
        <f ca="1">IF(ISBLANK(J62), NETWORKDAYS(H62, TODAY(),fESTIVOS!$A$1:$A$18), NETWORKDAYS(H62, J62, fESTIVOS!$A$1:$A$18))</f>
        <v>1</v>
      </c>
      <c r="L62" s="253"/>
      <c r="M62" s="297"/>
      <c r="N62" s="312"/>
      <c r="O62" s="304"/>
      <c r="P62" s="332"/>
      <c r="Q62" s="332"/>
      <c r="R62" s="332"/>
      <c r="S62" s="332"/>
      <c r="T62" s="332"/>
      <c r="U62" s="332"/>
      <c r="V62" s="332"/>
      <c r="W62" s="332"/>
      <c r="X62" s="332"/>
      <c r="Y62" s="332"/>
      <c r="Z62" s="332"/>
      <c r="AA62" s="332"/>
      <c r="AB62" s="332"/>
      <c r="AC62" s="332"/>
      <c r="AD62" s="332"/>
      <c r="AE62" s="332"/>
      <c r="AF62" s="332"/>
      <c r="AG62" s="332"/>
      <c r="AH62" s="332"/>
      <c r="AI62" s="332"/>
      <c r="AJ62" s="305" t="s">
        <v>821</v>
      </c>
      <c r="AK62" s="305"/>
      <c r="AL62" s="305"/>
      <c r="AM62" s="305"/>
      <c r="AN62" s="305"/>
    </row>
    <row r="63" spans="1:40" ht="29.25" customHeight="1">
      <c r="A63" s="295" t="s">
        <v>611</v>
      </c>
      <c r="B63" s="307" t="s">
        <v>44</v>
      </c>
      <c r="C63" s="264" t="s">
        <v>822</v>
      </c>
      <c r="D63" s="300" t="s">
        <v>37</v>
      </c>
      <c r="E63" s="265">
        <v>100</v>
      </c>
      <c r="F63" s="265">
        <v>1</v>
      </c>
      <c r="G63" s="297">
        <v>45818</v>
      </c>
      <c r="H63" s="298">
        <v>45819</v>
      </c>
      <c r="I63" s="298">
        <v>45819</v>
      </c>
      <c r="J63" s="298">
        <v>45819</v>
      </c>
      <c r="K63" s="256">
        <f ca="1">IF(ISBLANK(J63), NETWORKDAYS(H63, TODAY(),fESTIVOS!$A$1:$A$18), NETWORKDAYS(H63, J63, fESTIVOS!$A$1:$A$18))</f>
        <v>1</v>
      </c>
      <c r="L63" s="253"/>
      <c r="M63" s="297"/>
      <c r="N63" s="312"/>
      <c r="O63" s="304"/>
      <c r="P63" s="332"/>
      <c r="Q63" s="332"/>
      <c r="R63" s="332"/>
      <c r="S63" s="332"/>
      <c r="T63" s="332"/>
      <c r="U63" s="332"/>
      <c r="V63" s="332"/>
      <c r="W63" s="332"/>
      <c r="X63" s="332"/>
      <c r="Y63" s="332"/>
      <c r="Z63" s="332"/>
      <c r="AA63" s="332"/>
      <c r="AB63" s="332"/>
      <c r="AC63" s="332"/>
      <c r="AD63" s="332"/>
      <c r="AE63" s="332"/>
      <c r="AF63" s="332"/>
      <c r="AG63" s="332"/>
      <c r="AH63" s="332"/>
      <c r="AI63" s="332"/>
      <c r="AJ63" s="333" t="s">
        <v>823</v>
      </c>
      <c r="AK63" s="305" t="s">
        <v>824</v>
      </c>
      <c r="AL63" s="305"/>
      <c r="AM63" s="305"/>
      <c r="AN63" s="305"/>
    </row>
    <row r="64" spans="1:40" ht="29.25" customHeight="1">
      <c r="A64" s="295" t="s">
        <v>611</v>
      </c>
      <c r="B64" s="307" t="s">
        <v>44</v>
      </c>
      <c r="C64" s="264" t="s">
        <v>825</v>
      </c>
      <c r="D64" s="300" t="s">
        <v>37</v>
      </c>
      <c r="E64" s="265">
        <v>100</v>
      </c>
      <c r="F64" s="265">
        <v>1</v>
      </c>
      <c r="G64" s="297">
        <v>45818</v>
      </c>
      <c r="H64" s="298">
        <v>45820</v>
      </c>
      <c r="I64" s="298">
        <v>45820</v>
      </c>
      <c r="J64" s="298">
        <v>45821</v>
      </c>
      <c r="K64" s="256">
        <f ca="1">IF(ISBLANK(J64), NETWORKDAYS(H64, TODAY(),fESTIVOS!$A$1:$A$18), NETWORKDAYS(H64, J64, fESTIVOS!$A$1:$A$18))</f>
        <v>2</v>
      </c>
      <c r="L64" s="253"/>
      <c r="M64" s="297"/>
      <c r="N64" s="312"/>
      <c r="O64" s="304"/>
      <c r="P64" s="332"/>
      <c r="Q64" s="332"/>
      <c r="R64" s="332"/>
      <c r="S64" s="332"/>
      <c r="T64" s="332"/>
      <c r="U64" s="332"/>
      <c r="V64" s="332"/>
      <c r="W64" s="332"/>
      <c r="X64" s="332"/>
      <c r="Y64" s="332"/>
      <c r="Z64" s="332"/>
      <c r="AA64" s="332"/>
      <c r="AB64" s="332"/>
      <c r="AC64" s="332"/>
      <c r="AD64" s="332"/>
      <c r="AE64" s="332"/>
      <c r="AF64" s="332"/>
      <c r="AG64" s="332"/>
      <c r="AH64" s="332"/>
      <c r="AI64" s="332"/>
      <c r="AJ64" s="333" t="s">
        <v>826</v>
      </c>
      <c r="AK64" s="305" t="s">
        <v>827</v>
      </c>
      <c r="AL64" s="305"/>
      <c r="AM64" s="305"/>
      <c r="AN64" s="305"/>
    </row>
    <row r="65" spans="1:40" ht="29.25" customHeight="1">
      <c r="A65" s="327" t="s">
        <v>596</v>
      </c>
      <c r="B65" s="338" t="s">
        <v>712</v>
      </c>
      <c r="C65" s="343" t="s">
        <v>828</v>
      </c>
      <c r="D65" s="330" t="s">
        <v>37</v>
      </c>
      <c r="E65" s="265">
        <v>100</v>
      </c>
      <c r="F65" s="344">
        <v>1</v>
      </c>
      <c r="G65" s="297">
        <v>45786</v>
      </c>
      <c r="H65" s="298">
        <v>45786</v>
      </c>
      <c r="I65" s="298"/>
      <c r="J65" s="298">
        <v>45825</v>
      </c>
      <c r="K65" s="256">
        <f ca="1">IF(ISBLANK(J65), NETWORKDAYS(H65, TODAY(),fESTIVOS!$A$1:$A$18), NETWORKDAYS(H65, J65, fESTIVOS!$A$1:$A$18))</f>
        <v>28</v>
      </c>
      <c r="L65" s="253"/>
      <c r="M65" s="297"/>
      <c r="N65" s="312"/>
      <c r="O65" s="304"/>
      <c r="P65" s="332"/>
      <c r="Q65" s="332"/>
      <c r="R65" s="332"/>
      <c r="S65" s="333" t="s">
        <v>829</v>
      </c>
      <c r="T65" s="334"/>
      <c r="U65" s="334"/>
      <c r="V65" s="333" t="s">
        <v>830</v>
      </c>
      <c r="W65" s="333" t="s">
        <v>831</v>
      </c>
      <c r="X65" s="333" t="s">
        <v>832</v>
      </c>
      <c r="Y65" s="334"/>
      <c r="Z65" s="334"/>
      <c r="AA65" s="333" t="s">
        <v>833</v>
      </c>
      <c r="AB65" s="333" t="s">
        <v>834</v>
      </c>
      <c r="AC65" s="333" t="s">
        <v>835</v>
      </c>
      <c r="AD65" s="333" t="s">
        <v>836</v>
      </c>
      <c r="AE65" s="305" t="s">
        <v>41</v>
      </c>
      <c r="AF65" s="305" t="s">
        <v>837</v>
      </c>
      <c r="AG65" s="305"/>
      <c r="AH65" s="305"/>
      <c r="AI65" s="305"/>
      <c r="AJ65" s="305" t="s">
        <v>838</v>
      </c>
      <c r="AK65" s="305" t="s">
        <v>839</v>
      </c>
      <c r="AL65" s="305" t="s">
        <v>840</v>
      </c>
      <c r="AM65" s="305" t="s">
        <v>841</v>
      </c>
      <c r="AN65" s="305"/>
    </row>
    <row r="66" spans="1:40" ht="29.25" customHeight="1">
      <c r="A66" s="335" t="s">
        <v>693</v>
      </c>
      <c r="B66" s="307" t="s">
        <v>842</v>
      </c>
      <c r="C66" s="345" t="s">
        <v>843</v>
      </c>
      <c r="D66" s="300" t="s">
        <v>37</v>
      </c>
      <c r="E66" s="265">
        <v>100</v>
      </c>
      <c r="F66" s="301"/>
      <c r="G66" s="297">
        <v>45805</v>
      </c>
      <c r="H66" s="298">
        <v>45825</v>
      </c>
      <c r="I66" s="298"/>
      <c r="J66" s="298">
        <v>45825</v>
      </c>
      <c r="K66" s="256">
        <f ca="1">IF(ISBLANK(J66), NETWORKDAYS(H66, TODAY(),fESTIVOS!$A$1:$A$18), NETWORKDAYS(H66, J66, fESTIVOS!$A$1:$A$18))</f>
        <v>1</v>
      </c>
      <c r="L66" s="253"/>
      <c r="M66" s="297"/>
      <c r="N66" s="312"/>
      <c r="O66" s="304"/>
      <c r="P66" s="332"/>
      <c r="Q66" s="332"/>
      <c r="R66" s="332"/>
      <c r="S66" s="332"/>
      <c r="T66" s="332"/>
      <c r="U66" s="332"/>
      <c r="V66" s="332"/>
      <c r="W66" s="332"/>
      <c r="X66" s="332"/>
      <c r="Y66" s="332"/>
      <c r="Z66" s="332"/>
      <c r="AA66" s="332"/>
      <c r="AB66" s="332"/>
      <c r="AC66" s="332"/>
      <c r="AD66" s="332"/>
      <c r="AE66" s="263"/>
      <c r="AF66" s="305" t="s">
        <v>844</v>
      </c>
      <c r="AG66" s="305"/>
      <c r="AH66" s="305"/>
      <c r="AI66" s="305"/>
      <c r="AJ66" s="305"/>
      <c r="AK66" s="305"/>
      <c r="AL66" s="305" t="s">
        <v>845</v>
      </c>
      <c r="AM66" s="305" t="s">
        <v>846</v>
      </c>
      <c r="AN66" s="305"/>
    </row>
    <row r="67" spans="1:40" ht="29.25" customHeight="1">
      <c r="A67" s="335" t="s">
        <v>693</v>
      </c>
      <c r="B67" s="299"/>
      <c r="C67" s="264" t="s">
        <v>847</v>
      </c>
      <c r="D67" s="300" t="s">
        <v>37</v>
      </c>
      <c r="E67" s="301"/>
      <c r="F67" s="265">
        <v>1</v>
      </c>
      <c r="G67" s="297">
        <v>45825</v>
      </c>
      <c r="H67" s="298">
        <v>45825</v>
      </c>
      <c r="I67" s="298">
        <v>45825</v>
      </c>
      <c r="J67" s="298"/>
      <c r="K67" s="256">
        <f ca="1">IF(ISBLANK(J67), NETWORKDAYS(H67, TODAY(),fESTIVOS!$A$1:$A$18), NETWORKDAYS(H67, J67, fESTIVOS!$A$1:$A$18))</f>
        <v>193</v>
      </c>
      <c r="L67" s="253"/>
      <c r="M67" s="297"/>
      <c r="N67" s="312"/>
      <c r="O67" s="304"/>
      <c r="P67" s="332"/>
      <c r="Q67" s="332"/>
      <c r="R67" s="332"/>
      <c r="S67" s="332"/>
      <c r="T67" s="332"/>
      <c r="U67" s="332"/>
      <c r="V67" s="332"/>
      <c r="W67" s="332"/>
      <c r="X67" s="332"/>
      <c r="Y67" s="332"/>
      <c r="Z67" s="332"/>
      <c r="AA67" s="332"/>
      <c r="AB67" s="332"/>
      <c r="AC67" s="332"/>
      <c r="AD67" s="332"/>
      <c r="AE67" s="332"/>
      <c r="AF67" s="332"/>
      <c r="AG67" s="332"/>
      <c r="AH67" s="332"/>
      <c r="AI67" s="332"/>
      <c r="AJ67" s="332"/>
      <c r="AK67" s="332"/>
      <c r="AL67" s="332"/>
      <c r="AM67" s="333" t="s">
        <v>848</v>
      </c>
      <c r="AN67" s="305"/>
    </row>
    <row r="68" spans="1:40" ht="29.25" customHeight="1">
      <c r="A68" s="346" t="s">
        <v>596</v>
      </c>
      <c r="B68" s="307" t="s">
        <v>703</v>
      </c>
      <c r="C68" s="290" t="s">
        <v>849</v>
      </c>
      <c r="D68" s="300" t="s">
        <v>37</v>
      </c>
      <c r="E68" s="265">
        <v>100</v>
      </c>
      <c r="F68" s="347"/>
      <c r="G68" s="297">
        <v>45825</v>
      </c>
      <c r="H68" s="298">
        <v>45825</v>
      </c>
      <c r="I68" s="298"/>
      <c r="J68" s="298">
        <v>45825</v>
      </c>
      <c r="K68" s="256">
        <f ca="1">IF(ISBLANK(J68), NETWORKDAYS(H68, TODAY(),fESTIVOS!$A$1:$A$18), NETWORKDAYS(H68, J68, fESTIVOS!$A$1:$A$18))</f>
        <v>1</v>
      </c>
      <c r="L68" s="253"/>
      <c r="M68" s="297"/>
      <c r="N68" s="312"/>
      <c r="O68" s="304">
        <v>45825</v>
      </c>
      <c r="P68" s="332"/>
      <c r="Q68" s="332"/>
      <c r="R68" s="332"/>
      <c r="S68" s="332"/>
      <c r="T68" s="332"/>
      <c r="U68" s="332"/>
      <c r="V68" s="332"/>
      <c r="W68" s="332"/>
      <c r="X68" s="332"/>
      <c r="Y68" s="332"/>
      <c r="Z68" s="332"/>
      <c r="AA68" s="332"/>
      <c r="AB68" s="332"/>
      <c r="AC68" s="332"/>
      <c r="AD68" s="332"/>
      <c r="AE68" s="332"/>
      <c r="AF68" s="332"/>
      <c r="AG68" s="332"/>
      <c r="AH68" s="332"/>
      <c r="AI68" s="332"/>
      <c r="AJ68" s="332"/>
      <c r="AK68" s="332"/>
      <c r="AL68" s="332"/>
      <c r="AM68" s="333" t="s">
        <v>850</v>
      </c>
      <c r="AN68" s="305"/>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348" t="s">
        <v>592</v>
      </c>
      <c r="B1" s="348" t="s">
        <v>2</v>
      </c>
      <c r="C1" s="348" t="s">
        <v>3</v>
      </c>
      <c r="D1" s="348" t="s">
        <v>4</v>
      </c>
      <c r="E1" s="349" t="s">
        <v>6</v>
      </c>
      <c r="F1" s="349" t="s">
        <v>7</v>
      </c>
      <c r="G1" s="350" t="s">
        <v>851</v>
      </c>
      <c r="H1" s="349" t="s">
        <v>9</v>
      </c>
      <c r="I1" s="349" t="s">
        <v>594</v>
      </c>
      <c r="J1" s="351" t="s">
        <v>12</v>
      </c>
      <c r="K1" s="352" t="s">
        <v>13</v>
      </c>
      <c r="L1" s="353" t="s">
        <v>595</v>
      </c>
      <c r="M1" s="270"/>
      <c r="N1" s="270"/>
      <c r="O1" s="270"/>
      <c r="P1" s="270"/>
      <c r="Q1" s="270"/>
      <c r="R1" s="270"/>
      <c r="S1" s="270"/>
      <c r="T1" s="270"/>
      <c r="U1" s="270"/>
      <c r="V1" s="270"/>
      <c r="W1" s="270"/>
      <c r="X1" s="270"/>
      <c r="Y1" s="270"/>
      <c r="Z1" s="270"/>
    </row>
    <row r="2" spans="1:26" ht="15" customHeight="1">
      <c r="A2" s="354" t="s">
        <v>611</v>
      </c>
      <c r="B2" s="355" t="s">
        <v>852</v>
      </c>
      <c r="C2" s="356" t="s">
        <v>853</v>
      </c>
      <c r="D2" s="357"/>
      <c r="E2" s="358">
        <v>45561</v>
      </c>
      <c r="F2" s="358">
        <v>45561</v>
      </c>
      <c r="G2" s="357"/>
      <c r="H2" s="359">
        <v>45565</v>
      </c>
      <c r="I2" s="360">
        <f ca="1">IF(ISBLANK(H2), NETWORKDAYS(F2, TODAY(),fESTIVOS!$A$1:$A$18), NETWORKDAYS(F2, H2, fESTIVOS!$A$1:$A$18))</f>
        <v>3</v>
      </c>
      <c r="J2" s="358">
        <v>45565</v>
      </c>
      <c r="K2" s="358">
        <v>45566</v>
      </c>
      <c r="L2" s="361" t="s">
        <v>854</v>
      </c>
      <c r="M2" s="270"/>
      <c r="N2" s="270"/>
      <c r="O2" s="270"/>
      <c r="P2" s="270"/>
      <c r="Q2" s="270"/>
      <c r="R2" s="270"/>
      <c r="S2" s="270"/>
      <c r="T2" s="270"/>
      <c r="U2" s="270"/>
      <c r="V2" s="270"/>
      <c r="W2" s="270"/>
      <c r="X2" s="270"/>
      <c r="Y2" s="270"/>
      <c r="Z2" s="270"/>
    </row>
    <row r="3" spans="1:26" ht="15" customHeight="1">
      <c r="A3" s="354" t="s">
        <v>611</v>
      </c>
      <c r="B3" s="362"/>
      <c r="C3" s="356" t="s">
        <v>855</v>
      </c>
      <c r="D3" s="357"/>
      <c r="E3" s="358">
        <v>45561</v>
      </c>
      <c r="F3" s="358">
        <v>45562</v>
      </c>
      <c r="G3" s="357"/>
      <c r="H3" s="358">
        <v>45565</v>
      </c>
      <c r="I3" s="360">
        <f ca="1">IF(ISBLANK(H3), NETWORKDAYS(F3, TODAY(),fESTIVOS!$A$1:$A$18), NETWORKDAYS(F3, H3, fESTIVOS!$A$1:$A$18))</f>
        <v>2</v>
      </c>
      <c r="J3" s="358">
        <v>45565</v>
      </c>
      <c r="K3" s="358">
        <v>45566</v>
      </c>
      <c r="L3" s="361" t="s">
        <v>856</v>
      </c>
      <c r="M3" s="270"/>
      <c r="N3" s="270"/>
      <c r="O3" s="270"/>
      <c r="P3" s="270"/>
      <c r="Q3" s="270"/>
      <c r="R3" s="270"/>
      <c r="S3" s="270"/>
      <c r="T3" s="270"/>
      <c r="U3" s="270"/>
      <c r="V3" s="270"/>
      <c r="W3" s="270"/>
      <c r="X3" s="270"/>
      <c r="Y3" s="270"/>
      <c r="Z3" s="270"/>
    </row>
    <row r="4" spans="1:26" ht="15" customHeight="1">
      <c r="A4" s="354" t="s">
        <v>611</v>
      </c>
      <c r="B4" s="363" t="s">
        <v>857</v>
      </c>
      <c r="C4" s="356" t="s">
        <v>858</v>
      </c>
      <c r="D4" s="357"/>
      <c r="E4" s="358">
        <v>45566</v>
      </c>
      <c r="F4" s="358">
        <v>45566</v>
      </c>
      <c r="G4" s="357"/>
      <c r="H4" s="358">
        <v>45566</v>
      </c>
      <c r="I4" s="360">
        <f ca="1">IF(ISBLANK(H4), NETWORKDAYS(F4, TODAY(),fESTIVOS!$A$1:$A$18), NETWORKDAYS(F4, H4, fESTIVOS!$A$1:$A$18))</f>
        <v>1</v>
      </c>
      <c r="J4" s="358">
        <v>45566</v>
      </c>
      <c r="K4" s="358">
        <v>45566</v>
      </c>
      <c r="L4" s="361" t="s">
        <v>859</v>
      </c>
      <c r="M4" s="270"/>
      <c r="N4" s="270"/>
      <c r="O4" s="270"/>
      <c r="P4" s="270"/>
      <c r="Q4" s="270"/>
      <c r="R4" s="270"/>
      <c r="S4" s="270"/>
      <c r="T4" s="270"/>
      <c r="U4" s="270"/>
      <c r="V4" s="270"/>
      <c r="W4" s="270"/>
      <c r="X4" s="270"/>
      <c r="Y4" s="270"/>
      <c r="Z4" s="270"/>
    </row>
    <row r="5" spans="1:26" ht="15" customHeight="1">
      <c r="A5" s="354" t="s">
        <v>611</v>
      </c>
      <c r="B5" s="364"/>
      <c r="C5" s="356" t="s">
        <v>860</v>
      </c>
      <c r="D5" s="357"/>
      <c r="E5" s="358">
        <v>45566</v>
      </c>
      <c r="F5" s="358">
        <v>45566</v>
      </c>
      <c r="G5" s="357"/>
      <c r="H5" s="358">
        <v>45566</v>
      </c>
      <c r="I5" s="360">
        <f ca="1">IF(ISBLANK(H5), NETWORKDAYS(F5, TODAY(),fESTIVOS!$A$1:$A$18), NETWORKDAYS(F5, H5, fESTIVOS!$A$1:$A$18))</f>
        <v>1</v>
      </c>
      <c r="J5" s="358">
        <v>45566</v>
      </c>
      <c r="K5" s="358">
        <v>45566</v>
      </c>
      <c r="L5" s="361" t="s">
        <v>859</v>
      </c>
      <c r="M5" s="270"/>
      <c r="N5" s="270"/>
      <c r="O5" s="270"/>
      <c r="P5" s="270"/>
      <c r="Q5" s="270"/>
      <c r="R5" s="270"/>
      <c r="S5" s="270"/>
      <c r="T5" s="270"/>
      <c r="U5" s="270"/>
      <c r="V5" s="270"/>
      <c r="W5" s="270"/>
      <c r="X5" s="270"/>
      <c r="Y5" s="270"/>
      <c r="Z5" s="270"/>
    </row>
    <row r="6" spans="1:26" ht="15" customHeight="1">
      <c r="A6" s="354" t="s">
        <v>611</v>
      </c>
      <c r="B6" s="364"/>
      <c r="C6" s="356" t="s">
        <v>861</v>
      </c>
      <c r="D6" s="357"/>
      <c r="E6" s="358">
        <v>45566</v>
      </c>
      <c r="F6" s="358">
        <v>45566</v>
      </c>
      <c r="G6" s="357"/>
      <c r="H6" s="358">
        <v>45566</v>
      </c>
      <c r="I6" s="360">
        <f ca="1">IF(ISBLANK(H6), NETWORKDAYS(F6, TODAY(),fESTIVOS!$A$1:$A$18), NETWORKDAYS(F6, H6, fESTIVOS!$A$1:$A$18))</f>
        <v>1</v>
      </c>
      <c r="J6" s="358">
        <v>45566</v>
      </c>
      <c r="K6" s="358">
        <v>45566</v>
      </c>
      <c r="L6" s="361" t="s">
        <v>859</v>
      </c>
      <c r="M6" s="270"/>
      <c r="N6" s="270"/>
      <c r="O6" s="270"/>
      <c r="P6" s="270"/>
      <c r="Q6" s="270"/>
      <c r="R6" s="270"/>
      <c r="S6" s="270"/>
      <c r="T6" s="270"/>
      <c r="U6" s="270"/>
      <c r="V6" s="270"/>
      <c r="W6" s="270"/>
      <c r="X6" s="270"/>
      <c r="Y6" s="270"/>
      <c r="Z6" s="270"/>
    </row>
    <row r="7" spans="1:26" ht="15" customHeight="1">
      <c r="A7" s="356" t="s">
        <v>596</v>
      </c>
      <c r="B7" s="365" t="s">
        <v>862</v>
      </c>
      <c r="C7" s="356"/>
      <c r="D7" s="357" t="s">
        <v>37</v>
      </c>
      <c r="E7" s="358">
        <v>45566</v>
      </c>
      <c r="F7" s="358">
        <v>45566</v>
      </c>
      <c r="G7" s="357"/>
      <c r="H7" s="358">
        <v>45567</v>
      </c>
      <c r="I7" s="360">
        <f ca="1">IF(ISBLANK(H7), NETWORKDAYS(F7, TODAY(),fESTIVOS!$A$1:$A$18), NETWORKDAYS(F7, H7, fESTIVOS!$A$1:$A$18))</f>
        <v>2</v>
      </c>
      <c r="J7" s="357"/>
      <c r="K7" s="357"/>
      <c r="L7" s="361" t="s">
        <v>863</v>
      </c>
      <c r="M7" s="260"/>
      <c r="N7" s="260"/>
      <c r="O7" s="260"/>
      <c r="P7" s="260"/>
      <c r="Q7" s="260"/>
      <c r="R7" s="260"/>
      <c r="S7" s="260"/>
      <c r="T7" s="260"/>
      <c r="U7" s="260"/>
      <c r="V7" s="260"/>
      <c r="W7" s="260"/>
      <c r="X7" s="260"/>
      <c r="Y7" s="260"/>
      <c r="Z7" s="260"/>
    </row>
    <row r="8" spans="1:26" ht="15" customHeight="1">
      <c r="A8" s="357" t="s">
        <v>603</v>
      </c>
      <c r="B8" s="366" t="s">
        <v>864</v>
      </c>
      <c r="C8" s="356"/>
      <c r="D8" s="357" t="s">
        <v>37</v>
      </c>
      <c r="E8" s="358">
        <v>45566</v>
      </c>
      <c r="F8" s="358">
        <v>45566</v>
      </c>
      <c r="G8" s="357"/>
      <c r="H8" s="358">
        <v>45566</v>
      </c>
      <c r="I8" s="360">
        <f ca="1">IF(ISBLANK(H8), NETWORKDAYS(F8, TODAY(),fESTIVOS!$A$1:$A$18), NETWORKDAYS(F8, H8, fESTIVOS!$A$1:$A$18))</f>
        <v>1</v>
      </c>
      <c r="J8" s="357"/>
      <c r="K8" s="358">
        <v>45566</v>
      </c>
      <c r="L8" s="361" t="s">
        <v>865</v>
      </c>
      <c r="M8" s="260"/>
      <c r="N8" s="260"/>
      <c r="O8" s="260"/>
      <c r="P8" s="260"/>
      <c r="Q8" s="260"/>
      <c r="R8" s="260"/>
      <c r="S8" s="260"/>
      <c r="T8" s="260"/>
      <c r="U8" s="260"/>
      <c r="V8" s="260"/>
      <c r="W8" s="260"/>
      <c r="X8" s="260"/>
      <c r="Y8" s="260"/>
      <c r="Z8" s="260"/>
    </row>
    <row r="9" spans="1:26" ht="15" customHeight="1">
      <c r="A9" s="357" t="s">
        <v>603</v>
      </c>
      <c r="B9" s="366" t="s">
        <v>866</v>
      </c>
      <c r="C9" s="356"/>
      <c r="D9" s="357" t="s">
        <v>867</v>
      </c>
      <c r="E9" s="358">
        <v>45566</v>
      </c>
      <c r="F9" s="358">
        <v>45566</v>
      </c>
      <c r="G9" s="358">
        <v>45567</v>
      </c>
      <c r="H9" s="358">
        <v>45566</v>
      </c>
      <c r="I9" s="360">
        <f ca="1">IF(ISBLANK(H9), NETWORKDAYS(F9, TODAY(),fESTIVOS!$A$1:$A$18), NETWORKDAYS(F9, H9, fESTIVOS!$A$1:$A$18))</f>
        <v>1</v>
      </c>
      <c r="J9" s="358">
        <v>45568</v>
      </c>
      <c r="K9" s="357"/>
      <c r="L9" s="361" t="s">
        <v>868</v>
      </c>
      <c r="M9" s="260"/>
      <c r="N9" s="260"/>
      <c r="O9" s="260"/>
      <c r="P9" s="260"/>
      <c r="Q9" s="260"/>
      <c r="R9" s="260"/>
      <c r="S9" s="260"/>
      <c r="T9" s="260"/>
      <c r="U9" s="260"/>
      <c r="V9" s="260"/>
      <c r="W9" s="260"/>
      <c r="X9" s="260"/>
      <c r="Y9" s="260"/>
      <c r="Z9" s="260"/>
    </row>
    <row r="10" spans="1:26" ht="15" customHeight="1">
      <c r="A10" s="367" t="s">
        <v>869</v>
      </c>
      <c r="B10" s="366" t="s">
        <v>870</v>
      </c>
      <c r="C10" s="356"/>
      <c r="D10" s="357" t="s">
        <v>37</v>
      </c>
      <c r="E10" s="358">
        <v>45567</v>
      </c>
      <c r="F10" s="358">
        <v>45567</v>
      </c>
      <c r="G10" s="357"/>
      <c r="H10" s="358">
        <v>45567</v>
      </c>
      <c r="I10" s="360">
        <f ca="1">IF(ISBLANK(H10), NETWORKDAYS(F10, TODAY(),fESTIVOS!$A$1:$A$18), NETWORKDAYS(F10, H10, fESTIVOS!$A$1:$A$18))</f>
        <v>1</v>
      </c>
      <c r="J10" s="357"/>
      <c r="K10" s="358">
        <v>45568</v>
      </c>
      <c r="L10" s="361" t="s">
        <v>871</v>
      </c>
      <c r="M10" s="260"/>
      <c r="N10" s="260"/>
      <c r="O10" s="260"/>
      <c r="P10" s="260"/>
      <c r="Q10" s="260"/>
      <c r="R10" s="260"/>
      <c r="S10" s="260"/>
      <c r="T10" s="260"/>
      <c r="U10" s="260"/>
      <c r="V10" s="260"/>
      <c r="W10" s="260"/>
      <c r="X10" s="260"/>
      <c r="Y10" s="260"/>
      <c r="Z10" s="260"/>
    </row>
    <row r="11" spans="1:26" ht="15" customHeight="1">
      <c r="A11" s="357" t="s">
        <v>621</v>
      </c>
      <c r="B11" s="368" t="s">
        <v>857</v>
      </c>
      <c r="C11" s="356" t="s">
        <v>872</v>
      </c>
      <c r="D11" s="357" t="s">
        <v>37</v>
      </c>
      <c r="E11" s="358">
        <v>45566</v>
      </c>
      <c r="F11" s="358">
        <v>45566</v>
      </c>
      <c r="G11" s="358">
        <v>45567</v>
      </c>
      <c r="H11" s="358">
        <v>45567</v>
      </c>
      <c r="I11" s="360">
        <f ca="1">IF(ISBLANK(H11), NETWORKDAYS(F11, TODAY(),fESTIVOS!$A$1:$A$18), NETWORKDAYS(F11, H11, fESTIVOS!$A$1:$A$18))</f>
        <v>2</v>
      </c>
      <c r="J11" s="358">
        <v>45567</v>
      </c>
      <c r="K11" s="358">
        <v>45568</v>
      </c>
      <c r="L11" s="361" t="s">
        <v>873</v>
      </c>
      <c r="M11" s="260"/>
      <c r="N11" s="260"/>
      <c r="O11" s="260"/>
      <c r="P11" s="260"/>
      <c r="Q11" s="260"/>
      <c r="R11" s="260"/>
      <c r="S11" s="260"/>
      <c r="T11" s="260"/>
      <c r="U11" s="260"/>
      <c r="V11" s="260"/>
      <c r="W11" s="260"/>
      <c r="X11" s="260"/>
      <c r="Y11" s="260"/>
      <c r="Z11" s="260"/>
    </row>
    <row r="12" spans="1:26" ht="15" customHeight="1">
      <c r="A12" s="357" t="s">
        <v>621</v>
      </c>
      <c r="B12" s="369" t="s">
        <v>852</v>
      </c>
      <c r="C12" s="356" t="s">
        <v>874</v>
      </c>
      <c r="D12" s="357" t="s">
        <v>37</v>
      </c>
      <c r="E12" s="358">
        <v>45566</v>
      </c>
      <c r="F12" s="358">
        <v>45566</v>
      </c>
      <c r="G12" s="358">
        <v>45567</v>
      </c>
      <c r="H12" s="358">
        <v>45567</v>
      </c>
      <c r="I12" s="360">
        <f ca="1">IF(ISBLANK(H12), NETWORKDAYS(F12, TODAY(),fESTIVOS!$A$1:$A$18), NETWORKDAYS(F12, H12, fESTIVOS!$A$1:$A$18))</f>
        <v>2</v>
      </c>
      <c r="J12" s="358">
        <v>45567</v>
      </c>
      <c r="K12" s="358">
        <v>45568</v>
      </c>
      <c r="L12" s="361" t="s">
        <v>873</v>
      </c>
      <c r="M12" s="260"/>
      <c r="N12" s="260"/>
      <c r="O12" s="260"/>
      <c r="P12" s="260"/>
      <c r="Q12" s="260"/>
      <c r="R12" s="260"/>
      <c r="S12" s="260"/>
      <c r="T12" s="260"/>
      <c r="U12" s="260"/>
      <c r="V12" s="260"/>
      <c r="W12" s="260"/>
      <c r="X12" s="260"/>
      <c r="Y12" s="260"/>
      <c r="Z12" s="260"/>
    </row>
    <row r="13" spans="1:26" ht="15" customHeight="1">
      <c r="A13" s="370" t="s">
        <v>869</v>
      </c>
      <c r="B13" s="371" t="s">
        <v>875</v>
      </c>
      <c r="C13" s="356"/>
      <c r="D13" s="357" t="s">
        <v>40</v>
      </c>
      <c r="E13" s="358">
        <v>45567</v>
      </c>
      <c r="F13" s="358"/>
      <c r="G13" s="357"/>
      <c r="H13" s="358">
        <v>45569</v>
      </c>
      <c r="I13" s="360">
        <f ca="1">IF(ISBLANK(H13), NETWORKDAYS(F13, TODAY(),fESTIVOS!$A$1:$A$18), NETWORKDAYS(F13, H13, fESTIVOS!$A$1:$A$18))</f>
        <v>32538</v>
      </c>
      <c r="J13" s="357"/>
      <c r="K13" s="357"/>
      <c r="L13" s="372" t="s">
        <v>876</v>
      </c>
      <c r="M13" s="260"/>
      <c r="N13" s="260"/>
      <c r="O13" s="260"/>
      <c r="P13" s="260"/>
      <c r="Q13" s="260"/>
      <c r="R13" s="260"/>
      <c r="S13" s="260"/>
      <c r="T13" s="260"/>
      <c r="U13" s="260"/>
      <c r="V13" s="260"/>
      <c r="W13" s="260"/>
      <c r="X13" s="260"/>
      <c r="Y13" s="260"/>
      <c r="Z13" s="260"/>
    </row>
    <row r="14" spans="1:26" ht="15" customHeight="1">
      <c r="A14" s="354" t="s">
        <v>621</v>
      </c>
      <c r="B14" s="373" t="s">
        <v>877</v>
      </c>
      <c r="C14" s="374"/>
      <c r="D14" s="367" t="s">
        <v>598</v>
      </c>
      <c r="E14" s="375">
        <v>45561</v>
      </c>
      <c r="F14" s="375">
        <v>45561</v>
      </c>
      <c r="G14" s="374"/>
      <c r="H14" s="375">
        <v>45562</v>
      </c>
      <c r="I14" s="360">
        <f ca="1">IF(ISBLANK(H14), NETWORKDAYS(F14, TODAY(),fESTIVOS!$A$1:$A$18), NETWORKDAYS(F14, H14, fESTIVOS!$A$1:$A$18))</f>
        <v>2</v>
      </c>
      <c r="J14" s="375">
        <v>45562</v>
      </c>
      <c r="K14" s="375">
        <v>45569</v>
      </c>
      <c r="L14" s="376" t="s">
        <v>878</v>
      </c>
      <c r="M14" s="377" t="s">
        <v>879</v>
      </c>
      <c r="N14" s="270"/>
      <c r="O14" s="270"/>
      <c r="P14" s="270"/>
      <c r="Q14" s="270"/>
      <c r="R14" s="270"/>
      <c r="S14" s="270"/>
      <c r="T14" s="270"/>
      <c r="U14" s="270"/>
      <c r="V14" s="270"/>
      <c r="W14" s="270"/>
      <c r="X14" s="270"/>
      <c r="Y14" s="270"/>
      <c r="Z14" s="270"/>
    </row>
    <row r="15" spans="1:26" ht="15" customHeight="1">
      <c r="A15" s="367" t="s">
        <v>718</v>
      </c>
      <c r="B15" s="366" t="s">
        <v>870</v>
      </c>
      <c r="C15" s="369" t="s">
        <v>880</v>
      </c>
      <c r="D15" s="357" t="s">
        <v>37</v>
      </c>
      <c r="E15" s="358">
        <v>45568</v>
      </c>
      <c r="F15" s="358">
        <v>45568</v>
      </c>
      <c r="G15" s="358">
        <v>45568</v>
      </c>
      <c r="H15" s="358">
        <v>45568</v>
      </c>
      <c r="I15" s="360">
        <f ca="1">IF(ISBLANK(H15), NETWORKDAYS(F15, TODAY(),fESTIVOS!$A$1:$A$18), NETWORKDAYS(F15, H15, fESTIVOS!$A$1:$A$18))</f>
        <v>1</v>
      </c>
      <c r="J15" s="357"/>
      <c r="K15" s="358"/>
      <c r="L15" s="361" t="s">
        <v>881</v>
      </c>
      <c r="M15" s="260"/>
      <c r="N15" s="260"/>
      <c r="O15" s="260"/>
      <c r="P15" s="260"/>
      <c r="Q15" s="260"/>
      <c r="R15" s="260"/>
      <c r="S15" s="260"/>
      <c r="T15" s="260"/>
      <c r="U15" s="260"/>
      <c r="V15" s="260"/>
      <c r="W15" s="260"/>
      <c r="X15" s="260"/>
      <c r="Y15" s="260"/>
      <c r="Z15" s="260"/>
    </row>
    <row r="16" spans="1:26" ht="15" customHeight="1">
      <c r="A16" s="378" t="s">
        <v>611</v>
      </c>
      <c r="B16" s="379" t="s">
        <v>882</v>
      </c>
      <c r="C16" s="366" t="s">
        <v>883</v>
      </c>
      <c r="D16" s="367" t="s">
        <v>37</v>
      </c>
      <c r="E16" s="358">
        <v>45569</v>
      </c>
      <c r="F16" s="358">
        <v>45569</v>
      </c>
      <c r="G16" s="358"/>
      <c r="H16" s="358">
        <v>45569</v>
      </c>
      <c r="I16" s="360">
        <f ca="1">IF(ISBLANK(H16), NETWORKDAYS(F16, TODAY(),fESTIVOS!$A$1:$A$18), NETWORKDAYS(F16, H16, fESTIVOS!$A$1:$A$18))</f>
        <v>1</v>
      </c>
      <c r="J16" s="358"/>
      <c r="K16" s="358">
        <v>45569</v>
      </c>
      <c r="L16" s="361" t="s">
        <v>884</v>
      </c>
      <c r="M16" s="260"/>
      <c r="N16" s="260"/>
      <c r="O16" s="260"/>
      <c r="P16" s="260"/>
      <c r="Q16" s="260"/>
      <c r="R16" s="260"/>
      <c r="S16" s="260"/>
      <c r="T16" s="260"/>
      <c r="U16" s="260"/>
      <c r="V16" s="260"/>
      <c r="W16" s="260"/>
      <c r="X16" s="260"/>
      <c r="Y16" s="260"/>
      <c r="Z16" s="260"/>
    </row>
    <row r="17" spans="1:26" ht="15" customHeight="1">
      <c r="A17" s="378" t="s">
        <v>611</v>
      </c>
      <c r="B17" s="362"/>
      <c r="C17" s="366" t="s">
        <v>885</v>
      </c>
      <c r="D17" s="367" t="s">
        <v>37</v>
      </c>
      <c r="E17" s="358">
        <v>45569</v>
      </c>
      <c r="F17" s="358">
        <v>45569</v>
      </c>
      <c r="G17" s="358"/>
      <c r="H17" s="358">
        <v>45569</v>
      </c>
      <c r="I17" s="360">
        <f ca="1">IF(ISBLANK(H17), NETWORKDAYS(F17, TODAY(),fESTIVOS!$A$1:$A$18), NETWORKDAYS(F17, H17, fESTIVOS!$A$1:$A$18))</f>
        <v>1</v>
      </c>
      <c r="J17" s="358"/>
      <c r="K17" s="357"/>
      <c r="L17" s="361"/>
      <c r="M17" s="260"/>
      <c r="N17" s="260"/>
      <c r="O17" s="260"/>
      <c r="P17" s="260"/>
      <c r="Q17" s="260"/>
      <c r="R17" s="260"/>
      <c r="S17" s="260"/>
      <c r="T17" s="260"/>
      <c r="U17" s="260"/>
      <c r="V17" s="260"/>
      <c r="W17" s="260"/>
      <c r="X17" s="260"/>
      <c r="Y17" s="260"/>
      <c r="Z17" s="260"/>
    </row>
    <row r="18" spans="1:26" ht="15" customHeight="1">
      <c r="A18" s="378" t="s">
        <v>611</v>
      </c>
      <c r="B18" s="380" t="s">
        <v>886</v>
      </c>
      <c r="C18" s="380" t="s">
        <v>887</v>
      </c>
      <c r="D18" s="381" t="s">
        <v>45</v>
      </c>
      <c r="E18" s="382">
        <v>45567</v>
      </c>
      <c r="F18" s="382">
        <v>45567</v>
      </c>
      <c r="G18" s="382">
        <v>45568</v>
      </c>
      <c r="H18" s="382">
        <v>45568</v>
      </c>
      <c r="I18" s="383">
        <f ca="1">IF(ISBLANK(H18), NETWORKDAYS(F18, TODAY(),fESTIVOS!$A$1:$A$18), NETWORKDAYS(F18, H18, fESTIVOS!$A$1:$A$18))</f>
        <v>2</v>
      </c>
      <c r="J18" s="382">
        <v>45568</v>
      </c>
      <c r="K18" s="384"/>
      <c r="L18" s="385" t="s">
        <v>888</v>
      </c>
      <c r="M18" s="260"/>
      <c r="N18" s="260"/>
      <c r="O18" s="260"/>
      <c r="P18" s="260"/>
      <c r="Q18" s="260"/>
      <c r="R18" s="260"/>
      <c r="S18" s="260"/>
      <c r="T18" s="260"/>
      <c r="U18" s="260"/>
      <c r="V18" s="260"/>
      <c r="W18" s="260"/>
      <c r="X18" s="260"/>
      <c r="Y18" s="260"/>
      <c r="Z18" s="260"/>
    </row>
    <row r="19" spans="1:26" ht="15" customHeight="1">
      <c r="A19" s="370" t="s">
        <v>869</v>
      </c>
      <c r="B19" s="386" t="s">
        <v>889</v>
      </c>
      <c r="C19" s="372" t="s">
        <v>890</v>
      </c>
      <c r="D19" s="367" t="s">
        <v>891</v>
      </c>
      <c r="E19" s="358">
        <v>45566</v>
      </c>
      <c r="F19" s="358">
        <v>45566</v>
      </c>
      <c r="G19" s="358">
        <v>45567</v>
      </c>
      <c r="H19" s="358">
        <v>45567</v>
      </c>
      <c r="I19" s="360">
        <f ca="1">IF(ISBLANK(H19), NETWORKDAYS(F19, TODAY(),fESTIVOS!$A$1:$A$18), NETWORKDAYS(F19, H19, fESTIVOS!$A$1:$A$18))</f>
        <v>2</v>
      </c>
      <c r="J19" s="358">
        <v>45568</v>
      </c>
      <c r="K19" s="357"/>
      <c r="L19" s="361" t="s">
        <v>892</v>
      </c>
      <c r="M19" s="260"/>
      <c r="N19" s="260"/>
      <c r="O19" s="260"/>
      <c r="P19" s="260"/>
      <c r="Q19" s="260"/>
      <c r="R19" s="260"/>
      <c r="S19" s="260"/>
      <c r="T19" s="260"/>
      <c r="U19" s="260"/>
      <c r="V19" s="260"/>
      <c r="W19" s="260"/>
      <c r="X19" s="260"/>
      <c r="Y19" s="260"/>
      <c r="Z19" s="260"/>
    </row>
    <row r="20" spans="1:26" ht="15" customHeight="1">
      <c r="A20" s="370" t="s">
        <v>869</v>
      </c>
      <c r="B20" s="223"/>
      <c r="C20" s="366" t="s">
        <v>893</v>
      </c>
      <c r="D20" s="367" t="s">
        <v>891</v>
      </c>
      <c r="E20" s="358">
        <v>45561</v>
      </c>
      <c r="F20" s="358">
        <v>45561</v>
      </c>
      <c r="G20" s="358">
        <v>45567</v>
      </c>
      <c r="H20" s="358">
        <v>45568</v>
      </c>
      <c r="I20" s="360">
        <f ca="1">IF(ISBLANK(H20), NETWORKDAYS(F20, TODAY(),fESTIVOS!$A$1:$A$18), NETWORKDAYS(F20, H20, fESTIVOS!$A$1:$A$18))</f>
        <v>6</v>
      </c>
      <c r="J20" s="358">
        <v>45568</v>
      </c>
      <c r="K20" s="357"/>
      <c r="L20" s="387" t="s">
        <v>894</v>
      </c>
      <c r="M20" s="260"/>
      <c r="N20" s="260"/>
      <c r="O20" s="260"/>
      <c r="P20" s="260"/>
      <c r="Q20" s="260"/>
      <c r="R20" s="260"/>
      <c r="S20" s="260"/>
      <c r="T20" s="260"/>
      <c r="U20" s="260"/>
      <c r="V20" s="260"/>
      <c r="W20" s="260"/>
      <c r="X20" s="260"/>
      <c r="Y20" s="260"/>
      <c r="Z20" s="260"/>
    </row>
    <row r="21" spans="1:26" ht="15" customHeight="1">
      <c r="A21" s="370" t="s">
        <v>869</v>
      </c>
      <c r="B21" s="388"/>
      <c r="C21" s="369" t="s">
        <v>895</v>
      </c>
      <c r="D21" s="357" t="s">
        <v>891</v>
      </c>
      <c r="E21" s="358">
        <v>45561</v>
      </c>
      <c r="F21" s="358">
        <v>45568</v>
      </c>
      <c r="G21" s="357"/>
      <c r="H21" s="358">
        <v>45568</v>
      </c>
      <c r="I21" s="360">
        <f ca="1">IF(ISBLANK(H21), NETWORKDAYS(F21, TODAY(),fESTIVOS!$A$1:$A$18), NETWORKDAYS(F21, H21, fESTIVOS!$A$1:$A$18))</f>
        <v>1</v>
      </c>
      <c r="J21" s="358">
        <v>45568</v>
      </c>
      <c r="K21" s="357"/>
      <c r="L21" s="361" t="s">
        <v>896</v>
      </c>
      <c r="M21" s="260"/>
      <c r="N21" s="260"/>
      <c r="O21" s="260"/>
      <c r="P21" s="260"/>
      <c r="Q21" s="260"/>
      <c r="R21" s="260"/>
      <c r="S21" s="260"/>
      <c r="T21" s="260"/>
      <c r="U21" s="260"/>
      <c r="V21" s="260"/>
      <c r="W21" s="260"/>
      <c r="X21" s="260"/>
      <c r="Y21" s="260"/>
      <c r="Z21" s="260"/>
    </row>
    <row r="22" spans="1:26" ht="15" customHeight="1">
      <c r="A22" s="389" t="s">
        <v>897</v>
      </c>
      <c r="B22" s="366" t="s">
        <v>864</v>
      </c>
      <c r="C22" s="369" t="s">
        <v>898</v>
      </c>
      <c r="D22" s="357" t="s">
        <v>37</v>
      </c>
      <c r="E22" s="358">
        <v>45567</v>
      </c>
      <c r="F22" s="358">
        <v>45567</v>
      </c>
      <c r="G22" s="358">
        <v>45567</v>
      </c>
      <c r="H22" s="358">
        <v>45569</v>
      </c>
      <c r="I22" s="360">
        <f ca="1">IF(ISBLANK(H22), NETWORKDAYS(F22, TODAY(),fESTIVOS!$A$1:$A$18), NETWORKDAYS(F22, H22, fESTIVOS!$A$1:$A$18))</f>
        <v>3</v>
      </c>
      <c r="J22" s="357"/>
      <c r="K22" s="357"/>
      <c r="L22" s="372" t="s">
        <v>899</v>
      </c>
      <c r="M22" s="260"/>
      <c r="N22" s="260"/>
      <c r="O22" s="260"/>
      <c r="P22" s="260"/>
      <c r="Q22" s="260"/>
      <c r="R22" s="260"/>
      <c r="S22" s="260"/>
      <c r="T22" s="260"/>
      <c r="U22" s="260"/>
      <c r="V22" s="260"/>
      <c r="W22" s="260"/>
      <c r="X22" s="260"/>
      <c r="Y22" s="260"/>
      <c r="Z22" s="260"/>
    </row>
    <row r="23" spans="1:26" ht="15" customHeight="1">
      <c r="A23" s="390" t="s">
        <v>869</v>
      </c>
      <c r="B23" s="391" t="s">
        <v>889</v>
      </c>
      <c r="C23" s="366" t="s">
        <v>900</v>
      </c>
      <c r="D23" s="357" t="s">
        <v>37</v>
      </c>
      <c r="E23" s="358">
        <v>45569</v>
      </c>
      <c r="F23" s="358">
        <v>45572</v>
      </c>
      <c r="G23" s="358"/>
      <c r="H23" s="358">
        <v>45572</v>
      </c>
      <c r="I23" s="360">
        <f ca="1">IF(ISBLANK(H23), NETWORKDAYS(F23, TODAY(),fESTIVOS!$A$1:$A$18), NETWORKDAYS(F23, H23, fESTIVOS!$A$1:$A$18))</f>
        <v>1</v>
      </c>
      <c r="J23" s="358">
        <v>45572</v>
      </c>
      <c r="K23" s="358"/>
      <c r="L23" s="361"/>
      <c r="M23" s="270"/>
      <c r="N23" s="270"/>
      <c r="O23" s="270"/>
      <c r="P23" s="270"/>
      <c r="Q23" s="270"/>
      <c r="R23" s="270"/>
      <c r="S23" s="270"/>
      <c r="T23" s="270"/>
      <c r="U23" s="270"/>
      <c r="V23" s="270"/>
      <c r="W23" s="270"/>
      <c r="X23" s="270"/>
      <c r="Y23" s="270"/>
      <c r="Z23" s="270"/>
    </row>
    <row r="24" spans="1:26" ht="15" customHeight="1">
      <c r="A24" s="357" t="s">
        <v>718</v>
      </c>
      <c r="B24" s="366" t="s">
        <v>866</v>
      </c>
      <c r="C24" s="369" t="s">
        <v>901</v>
      </c>
      <c r="D24" s="357" t="s">
        <v>37</v>
      </c>
      <c r="E24" s="358">
        <v>45568</v>
      </c>
      <c r="F24" s="358">
        <v>45568</v>
      </c>
      <c r="G24" s="358">
        <v>45568</v>
      </c>
      <c r="H24" s="358">
        <v>45568</v>
      </c>
      <c r="I24" s="360">
        <f ca="1">IF(ISBLANK(H24), NETWORKDAYS(F24, TODAY(),fESTIVOS!$A$1:$A$18), NETWORKDAYS(F24, H24, fESTIVOS!$A$1:$A$18))</f>
        <v>1</v>
      </c>
      <c r="J24" s="358"/>
      <c r="K24" s="358"/>
      <c r="L24" s="361" t="s">
        <v>902</v>
      </c>
      <c r="M24" s="260"/>
      <c r="N24" s="260"/>
      <c r="O24" s="260"/>
      <c r="P24" s="260"/>
      <c r="Q24" s="260"/>
      <c r="R24" s="260"/>
      <c r="S24" s="260"/>
      <c r="T24" s="260"/>
      <c r="U24" s="260"/>
      <c r="V24" s="260"/>
      <c r="W24" s="260"/>
      <c r="X24" s="260"/>
      <c r="Y24" s="260"/>
      <c r="Z24" s="260"/>
    </row>
    <row r="25" spans="1:26" ht="15" customHeight="1">
      <c r="A25" s="392" t="s">
        <v>621</v>
      </c>
      <c r="B25" s="379" t="s">
        <v>903</v>
      </c>
      <c r="C25" s="393"/>
      <c r="D25" s="384" t="s">
        <v>40</v>
      </c>
      <c r="E25" s="382">
        <v>45572</v>
      </c>
      <c r="F25" s="382">
        <v>45573</v>
      </c>
      <c r="G25" s="384"/>
      <c r="H25" s="382">
        <v>45573</v>
      </c>
      <c r="I25" s="383">
        <f ca="1">IF(ISBLANK(H25), NETWORKDAYS(F25, TODAY(),fESTIVOS!$A$1:$A$18), NETWORKDAYS(F25, H25, fESTIVOS!$A$1:$A$18))</f>
        <v>1</v>
      </c>
      <c r="J25" s="382"/>
      <c r="K25" s="382">
        <v>45573</v>
      </c>
      <c r="L25" s="385" t="s">
        <v>904</v>
      </c>
      <c r="M25" s="270"/>
      <c r="N25" s="270"/>
      <c r="O25" s="270"/>
      <c r="P25" s="270"/>
      <c r="Q25" s="270"/>
      <c r="R25" s="270"/>
      <c r="S25" s="270"/>
      <c r="T25" s="270"/>
      <c r="U25" s="270"/>
      <c r="V25" s="270"/>
      <c r="W25" s="270"/>
      <c r="X25" s="270"/>
      <c r="Y25" s="270"/>
      <c r="Z25" s="270"/>
    </row>
    <row r="26" spans="1:26" ht="15" customHeight="1">
      <c r="A26" s="389" t="s">
        <v>596</v>
      </c>
      <c r="B26" s="374"/>
      <c r="C26" s="356" t="s">
        <v>905</v>
      </c>
      <c r="D26" s="357" t="s">
        <v>37</v>
      </c>
      <c r="E26" s="358">
        <v>45572</v>
      </c>
      <c r="F26" s="358">
        <v>45572</v>
      </c>
      <c r="G26" s="358"/>
      <c r="H26" s="358">
        <v>45572</v>
      </c>
      <c r="I26" s="360">
        <f ca="1">IF(ISBLANK(H26), NETWORKDAYS(F26, TODAY(),fESTIVOS!$A$1:$A$18), NETWORKDAYS(F26, H26, fESTIVOS!$A$1:$A$18))</f>
        <v>1</v>
      </c>
      <c r="J26" s="358">
        <v>45573</v>
      </c>
      <c r="K26" s="358"/>
      <c r="L26" s="372" t="s">
        <v>906</v>
      </c>
      <c r="M26" s="260"/>
      <c r="N26" s="260"/>
      <c r="O26" s="260"/>
      <c r="P26" s="260"/>
      <c r="Q26" s="260"/>
      <c r="R26" s="260"/>
      <c r="S26" s="260"/>
      <c r="T26" s="260"/>
      <c r="U26" s="260"/>
      <c r="V26" s="260"/>
      <c r="W26" s="260"/>
      <c r="X26" s="260"/>
      <c r="Y26" s="260"/>
      <c r="Z26" s="260"/>
    </row>
    <row r="27" spans="1:26" ht="15" customHeight="1">
      <c r="A27" s="394" t="s">
        <v>603</v>
      </c>
      <c r="B27" s="395" t="s">
        <v>907</v>
      </c>
      <c r="C27" s="396" t="s">
        <v>908</v>
      </c>
      <c r="D27" s="189" t="s">
        <v>37</v>
      </c>
      <c r="E27" s="188">
        <v>45566</v>
      </c>
      <c r="F27" s="188">
        <v>45568</v>
      </c>
      <c r="G27" s="188">
        <v>45568</v>
      </c>
      <c r="H27" s="188">
        <v>45569</v>
      </c>
      <c r="I27" s="190">
        <f ca="1">IF(ISBLANK(H27), NETWORKDAYS(F27, TODAY(),fESTIVOS!$A$1:$A$18), NETWORKDAYS(F27, H27, fESTIVOS!$A$1:$A$18))</f>
        <v>2</v>
      </c>
      <c r="J27" s="188"/>
      <c r="K27" s="188"/>
      <c r="L27" s="191" t="s">
        <v>909</v>
      </c>
      <c r="M27" s="178"/>
      <c r="N27" s="178"/>
      <c r="O27" s="178"/>
      <c r="P27" s="178"/>
      <c r="Q27" s="178"/>
      <c r="R27" s="178"/>
      <c r="S27" s="178"/>
      <c r="T27" s="178"/>
      <c r="U27" s="178"/>
      <c r="V27" s="178"/>
      <c r="W27" s="178"/>
      <c r="X27" s="178"/>
      <c r="Y27" s="178"/>
      <c r="Z27" s="178"/>
    </row>
    <row r="28" spans="1:26" ht="15" customHeight="1">
      <c r="A28" s="397" t="s">
        <v>869</v>
      </c>
      <c r="B28" s="398" t="s">
        <v>910</v>
      </c>
      <c r="C28" s="399"/>
      <c r="D28" s="400" t="s">
        <v>37</v>
      </c>
      <c r="E28" s="401">
        <v>45572</v>
      </c>
      <c r="F28" s="402">
        <v>45573</v>
      </c>
      <c r="G28" s="401"/>
      <c r="H28" s="402">
        <v>45573</v>
      </c>
      <c r="I28" s="403">
        <f ca="1">IF(ISBLANK(H28), NETWORKDAYS(F28, TODAY(),fESTIVOS!$A$1:$A$18), NETWORKDAYS(F28, H28, fESTIVOS!$A$1:$A$18))</f>
        <v>1</v>
      </c>
      <c r="J28" s="401"/>
      <c r="K28" s="401"/>
      <c r="L28" s="404" t="s">
        <v>911</v>
      </c>
      <c r="M28" s="178"/>
      <c r="N28" s="178"/>
      <c r="O28" s="178"/>
      <c r="P28" s="178"/>
      <c r="Q28" s="178"/>
      <c r="R28" s="178"/>
      <c r="S28" s="178"/>
      <c r="T28" s="178"/>
      <c r="U28" s="178"/>
      <c r="V28" s="178"/>
      <c r="W28" s="178"/>
      <c r="X28" s="178"/>
      <c r="Y28" s="178"/>
      <c r="Z28" s="178"/>
    </row>
    <row r="29" spans="1:26" ht="15" customHeight="1">
      <c r="A29" s="397" t="s">
        <v>869</v>
      </c>
      <c r="B29" s="405" t="s">
        <v>889</v>
      </c>
      <c r="C29" s="406" t="s">
        <v>912</v>
      </c>
      <c r="D29" s="189" t="s">
        <v>45</v>
      </c>
      <c r="E29" s="407">
        <v>45573</v>
      </c>
      <c r="F29" s="407">
        <v>45573</v>
      </c>
      <c r="G29" s="407">
        <v>45573</v>
      </c>
      <c r="H29" s="407">
        <v>45573</v>
      </c>
      <c r="I29" s="190">
        <f ca="1">IF(ISBLANK(H29), NETWORKDAYS(F29, TODAY(),fESTIVOS!$A$1:$A$18), NETWORKDAYS(F29, H29, fESTIVOS!$A$1:$A$18))</f>
        <v>1</v>
      </c>
      <c r="J29" s="407"/>
      <c r="K29" s="407"/>
      <c r="L29" s="408" t="s">
        <v>913</v>
      </c>
      <c r="M29" s="184"/>
      <c r="N29" s="184"/>
      <c r="O29" s="184"/>
      <c r="P29" s="184"/>
      <c r="Q29" s="184"/>
      <c r="R29" s="184"/>
      <c r="S29" s="184"/>
      <c r="T29" s="184"/>
      <c r="U29" s="184"/>
      <c r="V29" s="184"/>
      <c r="W29" s="184"/>
      <c r="X29" s="184"/>
      <c r="Y29" s="184"/>
      <c r="Z29" s="184"/>
    </row>
    <row r="30" spans="1:26" ht="15.75" customHeight="1">
      <c r="A30" s="409" t="s">
        <v>611</v>
      </c>
      <c r="B30" s="406"/>
      <c r="C30" s="187" t="s">
        <v>914</v>
      </c>
      <c r="D30" s="410" t="s">
        <v>915</v>
      </c>
      <c r="E30" s="188">
        <v>45573</v>
      </c>
      <c r="F30" s="188">
        <v>45573</v>
      </c>
      <c r="G30" s="188"/>
      <c r="H30" s="188"/>
      <c r="I30" s="190"/>
      <c r="J30" s="188"/>
      <c r="K30" s="188"/>
      <c r="L30" s="411" t="s">
        <v>916</v>
      </c>
      <c r="M30" s="178"/>
      <c r="N30" s="178"/>
      <c r="O30" s="178"/>
      <c r="P30" s="178"/>
      <c r="Q30" s="178"/>
      <c r="R30" s="178"/>
      <c r="S30" s="178"/>
      <c r="T30" s="178"/>
      <c r="U30" s="178"/>
      <c r="V30" s="178"/>
      <c r="W30" s="178"/>
      <c r="X30" s="178"/>
      <c r="Y30" s="178"/>
      <c r="Z30" s="178"/>
    </row>
    <row r="31" spans="1:26" ht="15.75" customHeight="1">
      <c r="A31" s="394" t="s">
        <v>621</v>
      </c>
      <c r="B31" s="412" t="s">
        <v>917</v>
      </c>
      <c r="C31" s="396"/>
      <c r="D31" s="189" t="s">
        <v>37</v>
      </c>
      <c r="E31" s="188">
        <v>45574</v>
      </c>
      <c r="F31" s="188">
        <v>45574</v>
      </c>
      <c r="G31" s="188"/>
      <c r="H31" s="188">
        <v>45574</v>
      </c>
      <c r="I31" s="190">
        <f ca="1">IF(ISBLANK(H31), NETWORKDAYS(F31, TODAY(),fESTIVOS!$A$1:$A$18), NETWORKDAYS(F31, H31, fESTIVOS!$A$1:$A$18))</f>
        <v>1</v>
      </c>
      <c r="J31" s="188">
        <v>45574</v>
      </c>
      <c r="K31" s="188">
        <v>45574</v>
      </c>
      <c r="L31" s="191" t="s">
        <v>918</v>
      </c>
      <c r="M31" s="413"/>
      <c r="N31" s="178"/>
      <c r="O31" s="178"/>
      <c r="P31" s="178"/>
      <c r="Q31" s="178"/>
      <c r="R31" s="178"/>
      <c r="S31" s="178"/>
      <c r="T31" s="178"/>
      <c r="U31" s="178"/>
      <c r="V31" s="178"/>
      <c r="W31" s="178"/>
      <c r="X31" s="178"/>
      <c r="Y31" s="178"/>
      <c r="Z31" s="178"/>
    </row>
    <row r="32" spans="1:26" ht="15.75" customHeight="1">
      <c r="A32" s="394" t="s">
        <v>621</v>
      </c>
      <c r="B32" s="406" t="s">
        <v>919</v>
      </c>
      <c r="C32" s="396"/>
      <c r="D32" s="189" t="s">
        <v>37</v>
      </c>
      <c r="E32" s="188">
        <v>45574</v>
      </c>
      <c r="F32" s="188">
        <v>45574</v>
      </c>
      <c r="G32" s="188"/>
      <c r="H32" s="188">
        <v>45574</v>
      </c>
      <c r="I32" s="190">
        <f ca="1">IF(ISBLANK(H32), NETWORKDAYS(F32, TODAY(),fESTIVOS!$A$1:$A$18), NETWORKDAYS(F32, H32, fESTIVOS!$A$1:$A$18))</f>
        <v>1</v>
      </c>
      <c r="J32" s="188">
        <v>45574</v>
      </c>
      <c r="K32" s="188">
        <v>45574</v>
      </c>
      <c r="L32" s="191" t="s">
        <v>920</v>
      </c>
      <c r="M32" s="414" t="s">
        <v>921</v>
      </c>
      <c r="N32" s="178"/>
      <c r="O32" s="178"/>
      <c r="P32" s="178"/>
      <c r="Q32" s="178"/>
      <c r="R32" s="178"/>
      <c r="S32" s="178"/>
      <c r="T32" s="178"/>
      <c r="U32" s="178"/>
      <c r="V32" s="178"/>
      <c r="W32" s="178"/>
      <c r="X32" s="178"/>
      <c r="Y32" s="178"/>
      <c r="Z32" s="178"/>
    </row>
    <row r="33" spans="1:26" ht="15.75" customHeight="1">
      <c r="A33" s="394" t="s">
        <v>621</v>
      </c>
      <c r="B33" s="415" t="s">
        <v>922</v>
      </c>
      <c r="C33" s="187" t="s">
        <v>923</v>
      </c>
      <c r="D33" s="189" t="s">
        <v>37</v>
      </c>
      <c r="E33" s="188">
        <v>45572</v>
      </c>
      <c r="F33" s="188">
        <v>45572</v>
      </c>
      <c r="G33" s="188"/>
      <c r="H33" s="188">
        <v>45572</v>
      </c>
      <c r="I33" s="190">
        <f ca="1">IF(ISBLANK(H33), NETWORKDAYS(F33, TODAY(),fESTIVOS!$A$1:$A$18), NETWORKDAYS(F33, H33, fESTIVOS!$A$1:$A$18))</f>
        <v>1</v>
      </c>
      <c r="J33" s="188">
        <v>45574</v>
      </c>
      <c r="K33" s="188">
        <v>45574</v>
      </c>
      <c r="L33" s="191" t="s">
        <v>924</v>
      </c>
      <c r="M33" s="414" t="s">
        <v>925</v>
      </c>
      <c r="N33" s="178"/>
      <c r="O33" s="178"/>
      <c r="P33" s="178"/>
      <c r="Q33" s="178"/>
      <c r="R33" s="178"/>
      <c r="S33" s="178"/>
      <c r="T33" s="178"/>
      <c r="U33" s="178"/>
      <c r="V33" s="178"/>
      <c r="W33" s="178"/>
      <c r="X33" s="178"/>
      <c r="Y33" s="178"/>
      <c r="Z33" s="178"/>
    </row>
    <row r="34" spans="1:26" ht="15.75" customHeight="1">
      <c r="A34" s="394" t="s">
        <v>621</v>
      </c>
      <c r="B34" s="416" t="s">
        <v>926</v>
      </c>
      <c r="C34" s="187" t="s">
        <v>927</v>
      </c>
      <c r="D34" s="189" t="s">
        <v>37</v>
      </c>
      <c r="E34" s="188">
        <v>45567</v>
      </c>
      <c r="F34" s="188">
        <v>45567</v>
      </c>
      <c r="G34" s="188">
        <v>45569</v>
      </c>
      <c r="H34" s="188">
        <v>45568</v>
      </c>
      <c r="I34" s="190">
        <f ca="1">IF(ISBLANK(H34), NETWORKDAYS(F34, TODAY(),fESTIVOS!$A$1:$A$18), NETWORKDAYS(F34, H34, fESTIVOS!$A$1:$A$18))</f>
        <v>2</v>
      </c>
      <c r="J34" s="188">
        <v>45569</v>
      </c>
      <c r="K34" s="188"/>
      <c r="L34" s="191" t="s">
        <v>928</v>
      </c>
      <c r="M34" s="413"/>
      <c r="N34" s="178"/>
      <c r="O34" s="178"/>
      <c r="P34" s="178"/>
      <c r="Q34" s="178"/>
      <c r="R34" s="178"/>
      <c r="S34" s="178"/>
      <c r="T34" s="178"/>
      <c r="U34" s="178"/>
      <c r="V34" s="178"/>
      <c r="W34" s="178"/>
      <c r="X34" s="178"/>
      <c r="Y34" s="178"/>
      <c r="Z34" s="178"/>
    </row>
    <row r="35" spans="1:26" ht="15.75" customHeight="1">
      <c r="A35" s="417" t="s">
        <v>621</v>
      </c>
      <c r="B35" s="418"/>
      <c r="C35" s="419" t="s">
        <v>929</v>
      </c>
      <c r="D35" s="420" t="s">
        <v>37</v>
      </c>
      <c r="E35" s="421">
        <v>45567</v>
      </c>
      <c r="F35" s="421">
        <v>45567</v>
      </c>
      <c r="G35" s="421">
        <v>45569</v>
      </c>
      <c r="H35" s="421">
        <v>45568</v>
      </c>
      <c r="I35" s="422">
        <f ca="1">IF(ISBLANK(H35), NETWORKDAYS(F35, TODAY(),fESTIVOS!$A$1:$A$18), NETWORKDAYS(F35, H35, fESTIVOS!$A$1:$A$18))</f>
        <v>2</v>
      </c>
      <c r="J35" s="421">
        <v>45569</v>
      </c>
      <c r="K35" s="421"/>
      <c r="L35" s="423" t="s">
        <v>930</v>
      </c>
      <c r="M35" s="413"/>
      <c r="N35" s="178"/>
      <c r="O35" s="178"/>
      <c r="P35" s="178"/>
      <c r="Q35" s="178"/>
      <c r="R35" s="178"/>
      <c r="S35" s="178"/>
      <c r="T35" s="178"/>
      <c r="U35" s="178"/>
      <c r="V35" s="178"/>
      <c r="W35" s="178"/>
      <c r="X35" s="178"/>
      <c r="Y35" s="178"/>
      <c r="Z35" s="178"/>
    </row>
    <row r="36" spans="1:26" ht="15.75" customHeight="1">
      <c r="A36" s="394" t="s">
        <v>621</v>
      </c>
      <c r="B36" s="177" t="s">
        <v>857</v>
      </c>
      <c r="C36" s="396" t="s">
        <v>931</v>
      </c>
      <c r="D36" s="189" t="s">
        <v>37</v>
      </c>
      <c r="E36" s="188">
        <v>45567</v>
      </c>
      <c r="F36" s="188">
        <v>45567</v>
      </c>
      <c r="G36" s="188">
        <v>45569</v>
      </c>
      <c r="H36" s="188">
        <v>45569</v>
      </c>
      <c r="I36" s="190">
        <f ca="1">IF(ISBLANK(H36), NETWORKDAYS(F36, TODAY(),fESTIVOS!$A$1:$A$18), NETWORKDAYS(F36, H36, fESTIVOS!$A$1:$A$18))</f>
        <v>3</v>
      </c>
      <c r="J36" s="188">
        <v>45569</v>
      </c>
      <c r="K36" s="188"/>
      <c r="L36" s="191" t="s">
        <v>930</v>
      </c>
      <c r="M36" s="413"/>
      <c r="N36" s="178"/>
      <c r="O36" s="178"/>
      <c r="P36" s="178"/>
      <c r="Q36" s="178"/>
      <c r="R36" s="178"/>
      <c r="S36" s="178"/>
      <c r="T36" s="178"/>
      <c r="U36" s="178"/>
      <c r="V36" s="178"/>
      <c r="W36" s="178"/>
      <c r="X36" s="178"/>
      <c r="Y36" s="178"/>
      <c r="Z36" s="178"/>
    </row>
    <row r="37" spans="1:26" ht="15.75" customHeight="1">
      <c r="A37" s="397" t="s">
        <v>869</v>
      </c>
      <c r="B37" s="424" t="s">
        <v>889</v>
      </c>
      <c r="C37" s="425" t="s">
        <v>932</v>
      </c>
      <c r="D37" s="426" t="s">
        <v>37</v>
      </c>
      <c r="E37" s="427">
        <v>45572</v>
      </c>
      <c r="F37" s="427">
        <v>45572</v>
      </c>
      <c r="G37" s="402"/>
      <c r="H37" s="427">
        <v>45574</v>
      </c>
      <c r="I37" s="403">
        <f ca="1">IF(ISBLANK(H37), NETWORKDAYS(F37, TODAY(),fESTIVOS!$A$1:$A$18), NETWORKDAYS(F37, H37, fESTIVOS!$A$1:$A$18))</f>
        <v>3</v>
      </c>
      <c r="J37" s="427">
        <v>45574</v>
      </c>
      <c r="K37" s="402"/>
      <c r="L37" s="428" t="s">
        <v>933</v>
      </c>
      <c r="M37" s="184"/>
      <c r="N37" s="184"/>
      <c r="O37" s="184"/>
      <c r="P37" s="184"/>
      <c r="Q37" s="184"/>
      <c r="R37" s="184"/>
      <c r="S37" s="184"/>
      <c r="T37" s="184"/>
      <c r="U37" s="184"/>
      <c r="V37" s="184"/>
      <c r="W37" s="184"/>
      <c r="X37" s="184"/>
      <c r="Y37" s="184"/>
      <c r="Z37" s="184"/>
    </row>
    <row r="38" spans="1:26" ht="15.75" customHeight="1">
      <c r="A38" s="429" t="s">
        <v>869</v>
      </c>
      <c r="B38" s="424" t="s">
        <v>889</v>
      </c>
      <c r="C38" s="399" t="s">
        <v>934</v>
      </c>
      <c r="D38" s="420" t="s">
        <v>37</v>
      </c>
      <c r="E38" s="183">
        <v>45572</v>
      </c>
      <c r="F38" s="183">
        <v>45572</v>
      </c>
      <c r="G38" s="183">
        <v>45573</v>
      </c>
      <c r="H38" s="183">
        <v>45575</v>
      </c>
      <c r="I38" s="422">
        <f ca="1">IF(ISBLANK(H38), NETWORKDAYS(F38, TODAY(),fESTIVOS!$A$1:$A$18), NETWORKDAYS(F38, H38, fESTIVOS!$A$1:$A$18))</f>
        <v>4</v>
      </c>
      <c r="J38" s="430"/>
      <c r="K38" s="430"/>
      <c r="L38" s="431" t="s">
        <v>935</v>
      </c>
      <c r="M38" s="184"/>
      <c r="N38" s="184"/>
      <c r="O38" s="184"/>
      <c r="P38" s="184"/>
      <c r="Q38" s="184"/>
      <c r="R38" s="184"/>
      <c r="S38" s="184"/>
      <c r="T38" s="184"/>
      <c r="U38" s="184"/>
      <c r="V38" s="184"/>
      <c r="W38" s="184"/>
      <c r="X38" s="184"/>
      <c r="Y38" s="184"/>
      <c r="Z38" s="184"/>
    </row>
    <row r="39" spans="1:26" ht="15.75" customHeight="1">
      <c r="A39" s="432" t="s">
        <v>611</v>
      </c>
      <c r="B39" s="186" t="s">
        <v>936</v>
      </c>
      <c r="C39" s="396" t="s">
        <v>937</v>
      </c>
      <c r="D39" s="189" t="s">
        <v>37</v>
      </c>
      <c r="E39" s="188">
        <v>45574</v>
      </c>
      <c r="F39" s="188">
        <v>45576</v>
      </c>
      <c r="G39" s="188"/>
      <c r="H39" s="188">
        <v>45576</v>
      </c>
      <c r="I39" s="190">
        <f ca="1">IF(ISBLANK(H39), NETWORKDAYS(F39, TODAY(),fESTIVOS!$A$1:$A$18), NETWORKDAYS(F39, H39, fESTIVOS!$A$1:$A$18))</f>
        <v>1</v>
      </c>
      <c r="J39" s="188"/>
      <c r="K39" s="188"/>
      <c r="L39" s="191" t="s">
        <v>938</v>
      </c>
      <c r="M39" s="178"/>
      <c r="N39" s="178"/>
      <c r="O39" s="178"/>
      <c r="P39" s="178"/>
      <c r="Q39" s="178"/>
      <c r="R39" s="178"/>
      <c r="S39" s="178"/>
      <c r="T39" s="178"/>
      <c r="U39" s="178"/>
      <c r="V39" s="178"/>
      <c r="W39" s="178"/>
      <c r="X39" s="178"/>
      <c r="Y39" s="178"/>
      <c r="Z39" s="178"/>
    </row>
    <row r="40" spans="1:26" ht="15.75" customHeight="1">
      <c r="A40" s="394" t="s">
        <v>596</v>
      </c>
      <c r="B40" s="186" t="s">
        <v>600</v>
      </c>
      <c r="C40" s="396" t="s">
        <v>939</v>
      </c>
      <c r="D40" s="410" t="s">
        <v>37</v>
      </c>
      <c r="E40" s="188">
        <v>45560</v>
      </c>
      <c r="F40" s="188">
        <v>45572</v>
      </c>
      <c r="G40" s="188"/>
      <c r="H40" s="188">
        <v>45573</v>
      </c>
      <c r="I40" s="190">
        <f ca="1">IF(ISBLANK(H40), NETWORKDAYS(F40, TODAY(),fESTIVOS!$A$1:$A$18), NETWORKDAYS(F40, H40, fESTIVOS!$A$1:$A$18))</f>
        <v>2</v>
      </c>
      <c r="J40" s="188">
        <v>45573</v>
      </c>
      <c r="K40" s="188"/>
      <c r="L40" s="411" t="s">
        <v>940</v>
      </c>
      <c r="M40" s="178"/>
      <c r="N40" s="178"/>
      <c r="O40" s="178"/>
      <c r="P40" s="178"/>
      <c r="Q40" s="178"/>
      <c r="R40" s="178"/>
      <c r="S40" s="178"/>
      <c r="T40" s="178"/>
      <c r="U40" s="178"/>
      <c r="V40" s="178"/>
      <c r="W40" s="178"/>
      <c r="X40" s="178"/>
      <c r="Y40" s="178"/>
      <c r="Z40" s="178"/>
    </row>
    <row r="41" spans="1:26" ht="15.75" customHeight="1">
      <c r="A41" s="394" t="s">
        <v>596</v>
      </c>
      <c r="B41" s="433" t="s">
        <v>941</v>
      </c>
      <c r="C41" s="187" t="s">
        <v>942</v>
      </c>
      <c r="D41" s="434" t="s">
        <v>37</v>
      </c>
      <c r="E41" s="188">
        <v>45575</v>
      </c>
      <c r="F41" s="188">
        <v>45576</v>
      </c>
      <c r="G41" s="188">
        <v>45581</v>
      </c>
      <c r="H41" s="188">
        <v>45576</v>
      </c>
      <c r="I41" s="190">
        <f ca="1">IF(ISBLANK(H41), NETWORKDAYS(F41, TODAY(),fESTIVOS!$A$1:$A$18), NETWORKDAYS(F41, H41, fESTIVOS!$A$1:$A$18))</f>
        <v>1</v>
      </c>
      <c r="J41" s="188">
        <v>45576</v>
      </c>
      <c r="K41" s="188">
        <v>45576</v>
      </c>
      <c r="L41" s="191" t="s">
        <v>943</v>
      </c>
      <c r="M41" s="178"/>
      <c r="N41" s="178"/>
      <c r="O41" s="178"/>
      <c r="P41" s="178"/>
      <c r="Q41" s="178"/>
      <c r="R41" s="178"/>
      <c r="S41" s="178"/>
      <c r="T41" s="178"/>
      <c r="U41" s="178"/>
      <c r="V41" s="178"/>
      <c r="W41" s="178"/>
      <c r="X41" s="178"/>
      <c r="Y41" s="178"/>
      <c r="Z41" s="178"/>
    </row>
    <row r="42" spans="1:26" ht="15.75" customHeight="1">
      <c r="A42" s="397" t="s">
        <v>869</v>
      </c>
      <c r="B42" s="435" t="s">
        <v>944</v>
      </c>
      <c r="C42" s="436"/>
      <c r="D42" s="437" t="s">
        <v>482</v>
      </c>
      <c r="E42" s="402">
        <v>45573</v>
      </c>
      <c r="F42" s="402">
        <v>45574</v>
      </c>
      <c r="G42" s="436"/>
      <c r="H42" s="402">
        <v>45574</v>
      </c>
      <c r="I42" s="403">
        <f ca="1">IF(ISBLANK(H42), NETWORKDAYS(F42, TODAY(),fESTIVOS!$A$1:$A$18), NETWORKDAYS(F42, H42, fESTIVOS!$A$1:$A$18))</f>
        <v>1</v>
      </c>
      <c r="J42" s="402">
        <v>45574</v>
      </c>
      <c r="K42" s="402">
        <v>45575</v>
      </c>
      <c r="L42" s="438" t="s">
        <v>945</v>
      </c>
      <c r="M42" s="184"/>
      <c r="N42" s="184"/>
      <c r="O42" s="184"/>
      <c r="P42" s="184"/>
      <c r="Q42" s="184"/>
      <c r="R42" s="184"/>
      <c r="S42" s="184"/>
      <c r="T42" s="184"/>
      <c r="U42" s="184"/>
      <c r="V42" s="184"/>
      <c r="W42" s="184"/>
      <c r="X42" s="184"/>
      <c r="Y42" s="184"/>
      <c r="Z42" s="184"/>
    </row>
    <row r="43" spans="1:26" ht="15.75" customHeight="1">
      <c r="A43" s="439" t="s">
        <v>611</v>
      </c>
      <c r="B43" s="440" t="s">
        <v>936</v>
      </c>
      <c r="C43" s="441" t="s">
        <v>946</v>
      </c>
      <c r="D43" s="442" t="s">
        <v>37</v>
      </c>
      <c r="E43" s="220">
        <v>45576</v>
      </c>
      <c r="F43" s="220">
        <v>45576</v>
      </c>
      <c r="G43" s="220"/>
      <c r="H43" s="220">
        <v>45576</v>
      </c>
      <c r="I43" s="198">
        <f ca="1">IF(ISBLANK(H43), NETWORKDAYS(F43, TODAY(),fESTIVOS!$A$1:$A$18), NETWORKDAYS(F43, H43, fESTIVOS!$A$1:$A$18))</f>
        <v>1</v>
      </c>
      <c r="J43" s="220">
        <v>45580</v>
      </c>
      <c r="K43" s="220"/>
      <c r="L43" s="443" t="s">
        <v>947</v>
      </c>
      <c r="M43" s="178"/>
      <c r="N43" s="178"/>
      <c r="O43" s="178"/>
      <c r="P43" s="178"/>
      <c r="Q43" s="178"/>
      <c r="R43" s="178"/>
      <c r="S43" s="178"/>
      <c r="T43" s="178"/>
      <c r="U43" s="178"/>
      <c r="V43" s="178"/>
      <c r="W43" s="178"/>
      <c r="X43" s="178"/>
      <c r="Y43" s="178"/>
      <c r="Z43" s="178"/>
    </row>
    <row r="44" spans="1:26" ht="15.75" customHeight="1">
      <c r="A44" s="439" t="s">
        <v>611</v>
      </c>
      <c r="B44" s="444" t="s">
        <v>948</v>
      </c>
      <c r="C44" s="442" t="s">
        <v>949</v>
      </c>
      <c r="D44" s="195" t="s">
        <v>37</v>
      </c>
      <c r="E44" s="220">
        <v>45561</v>
      </c>
      <c r="F44" s="220">
        <v>45569</v>
      </c>
      <c r="G44" s="220">
        <v>45572</v>
      </c>
      <c r="H44" s="220">
        <v>45572</v>
      </c>
      <c r="I44" s="198">
        <f ca="1">IF(ISBLANK(H44), NETWORKDAYS(F44, TODAY(),fESTIVOS!$A$1:$A$18), NETWORKDAYS(F44, H44, fESTIVOS!$A$1:$A$18))</f>
        <v>2</v>
      </c>
      <c r="J44" s="220">
        <v>45580</v>
      </c>
      <c r="K44" s="220"/>
      <c r="L44" s="443" t="s">
        <v>950</v>
      </c>
      <c r="M44" s="178"/>
      <c r="N44" s="178"/>
      <c r="O44" s="178"/>
      <c r="P44" s="178"/>
      <c r="Q44" s="178"/>
      <c r="R44" s="178"/>
      <c r="S44" s="178"/>
      <c r="T44" s="178"/>
      <c r="U44" s="178"/>
      <c r="V44" s="178"/>
      <c r="W44" s="178"/>
      <c r="X44" s="178"/>
      <c r="Y44" s="178"/>
      <c r="Z44" s="178"/>
    </row>
    <row r="45" spans="1:26" ht="15.75" customHeight="1">
      <c r="A45" s="432" t="s">
        <v>869</v>
      </c>
      <c r="B45" s="445" t="s">
        <v>889</v>
      </c>
      <c r="C45" s="187" t="s">
        <v>951</v>
      </c>
      <c r="D45" s="189" t="s">
        <v>37</v>
      </c>
      <c r="E45" s="188">
        <v>45576</v>
      </c>
      <c r="F45" s="188">
        <v>45576</v>
      </c>
      <c r="G45" s="188">
        <v>45580</v>
      </c>
      <c r="H45" s="188">
        <v>45576</v>
      </c>
      <c r="I45" s="190">
        <f ca="1">IF(ISBLANK(H45), NETWORKDAYS(F45, TODAY(),fESTIVOS!$A$1:$A$18), NETWORKDAYS(F45, H45, fESTIVOS!$A$1:$A$18))</f>
        <v>1</v>
      </c>
      <c r="J45" s="188">
        <v>45580</v>
      </c>
      <c r="K45" s="188"/>
      <c r="L45" s="191"/>
      <c r="M45" s="413"/>
      <c r="N45" s="178"/>
      <c r="O45" s="178"/>
      <c r="P45" s="178"/>
      <c r="Q45" s="178"/>
      <c r="R45" s="178"/>
      <c r="S45" s="178"/>
      <c r="T45" s="178"/>
      <c r="U45" s="178"/>
      <c r="V45" s="178"/>
      <c r="W45" s="178"/>
      <c r="X45" s="178"/>
      <c r="Y45" s="178"/>
      <c r="Z45" s="178"/>
    </row>
    <row r="46" spans="1:26" ht="15.75" customHeight="1">
      <c r="A46" s="432" t="s">
        <v>869</v>
      </c>
      <c r="B46" s="445" t="s">
        <v>889</v>
      </c>
      <c r="C46" s="446" t="s">
        <v>952</v>
      </c>
      <c r="D46" s="189" t="s">
        <v>37</v>
      </c>
      <c r="E46" s="188">
        <v>45576</v>
      </c>
      <c r="F46" s="188">
        <v>45576</v>
      </c>
      <c r="G46" s="188">
        <v>45580</v>
      </c>
      <c r="H46" s="188">
        <v>45576</v>
      </c>
      <c r="I46" s="190">
        <f ca="1">IF(ISBLANK(H46), NETWORKDAYS(F46, TODAY(),fESTIVOS!$A$1:$A$18), NETWORKDAYS(F46, H46, fESTIVOS!$A$1:$A$18))</f>
        <v>1</v>
      </c>
      <c r="J46" s="407">
        <v>45580</v>
      </c>
      <c r="K46" s="447"/>
      <c r="L46" s="447" t="s">
        <v>953</v>
      </c>
      <c r="M46" s="448"/>
      <c r="N46" s="184"/>
      <c r="O46" s="184"/>
      <c r="P46" s="184"/>
      <c r="Q46" s="184"/>
      <c r="R46" s="184"/>
      <c r="S46" s="184"/>
      <c r="T46" s="184"/>
      <c r="U46" s="184"/>
      <c r="V46" s="184"/>
      <c r="W46" s="184"/>
      <c r="X46" s="184"/>
      <c r="Y46" s="184"/>
      <c r="Z46" s="184"/>
    </row>
    <row r="47" spans="1:26" ht="15.75" customHeight="1">
      <c r="A47" s="439" t="s">
        <v>611</v>
      </c>
      <c r="B47" s="440" t="s">
        <v>954</v>
      </c>
      <c r="C47" s="441" t="s">
        <v>955</v>
      </c>
      <c r="D47" s="442" t="s">
        <v>37</v>
      </c>
      <c r="E47" s="220">
        <v>45580</v>
      </c>
      <c r="F47" s="220">
        <v>45580</v>
      </c>
      <c r="G47" s="220"/>
      <c r="H47" s="220">
        <v>45580</v>
      </c>
      <c r="I47" s="198">
        <f ca="1">IF(ISBLANK(H47), NETWORKDAYS(F47, TODAY(),fESTIVOS!$A$1:$A$18), NETWORKDAYS(F47, H47, fESTIVOS!$A$1:$A$18))</f>
        <v>1</v>
      </c>
      <c r="J47" s="220">
        <v>45580</v>
      </c>
      <c r="K47" s="220"/>
      <c r="L47" s="443" t="s">
        <v>956</v>
      </c>
      <c r="M47" s="178"/>
      <c r="N47" s="178"/>
      <c r="O47" s="178"/>
      <c r="P47" s="178"/>
      <c r="Q47" s="178"/>
      <c r="R47" s="178"/>
      <c r="S47" s="178"/>
      <c r="T47" s="178"/>
      <c r="U47" s="178"/>
      <c r="V47" s="178"/>
      <c r="W47" s="178"/>
      <c r="X47" s="178"/>
      <c r="Y47" s="178"/>
      <c r="Z47" s="178"/>
    </row>
    <row r="48" spans="1:26" ht="15.75" customHeight="1">
      <c r="A48" s="432" t="s">
        <v>869</v>
      </c>
      <c r="B48" s="445" t="s">
        <v>889</v>
      </c>
      <c r="C48" s="446" t="s">
        <v>957</v>
      </c>
      <c r="D48" s="189" t="s">
        <v>37</v>
      </c>
      <c r="E48" s="421">
        <v>45576</v>
      </c>
      <c r="F48" s="421">
        <v>45576</v>
      </c>
      <c r="G48" s="421">
        <v>45580</v>
      </c>
      <c r="H48" s="421">
        <v>45576</v>
      </c>
      <c r="I48" s="422">
        <f ca="1">IF(ISBLANK(H48), NETWORKDAYS(F48, TODAY(),fESTIVOS!$A$1:$A$18), NETWORKDAYS(F48, H48, fESTIVOS!$A$1:$A$18))</f>
        <v>1</v>
      </c>
      <c r="J48" s="181"/>
      <c r="K48" s="181"/>
      <c r="L48" s="449" t="s">
        <v>958</v>
      </c>
      <c r="M48" s="448"/>
      <c r="N48" s="184"/>
      <c r="O48" s="184"/>
      <c r="P48" s="184"/>
      <c r="Q48" s="184"/>
      <c r="R48" s="184"/>
      <c r="S48" s="184"/>
      <c r="T48" s="184"/>
      <c r="U48" s="184"/>
      <c r="V48" s="184"/>
      <c r="W48" s="184"/>
      <c r="X48" s="184"/>
      <c r="Y48" s="184"/>
      <c r="Z48" s="184"/>
    </row>
    <row r="49" spans="1:33" ht="15.75" customHeight="1">
      <c r="A49" s="432" t="s">
        <v>869</v>
      </c>
      <c r="B49" s="445" t="s">
        <v>889</v>
      </c>
      <c r="C49" s="450" t="s">
        <v>959</v>
      </c>
      <c r="D49" s="451" t="s">
        <v>37</v>
      </c>
      <c r="E49" s="188">
        <v>45580</v>
      </c>
      <c r="F49" s="188">
        <v>45580</v>
      </c>
      <c r="G49" s="188"/>
      <c r="H49" s="188">
        <v>45581</v>
      </c>
      <c r="I49" s="190">
        <f ca="1">IF(ISBLANK(H49), NETWORKDAYS(F49, TODAY(),fESTIVOS!$A$1:$A$18), NETWORKDAYS(F49, H49, fESTIVOS!$A$1:$A$18))</f>
        <v>2</v>
      </c>
      <c r="J49" s="447"/>
      <c r="K49" s="447"/>
      <c r="L49" s="447"/>
      <c r="M49" s="448"/>
      <c r="N49" s="184"/>
      <c r="O49" s="184"/>
      <c r="P49" s="184"/>
      <c r="Q49" s="184"/>
      <c r="R49" s="184"/>
      <c r="S49" s="184"/>
      <c r="T49" s="184"/>
      <c r="U49" s="184"/>
      <c r="V49" s="184"/>
      <c r="W49" s="184"/>
      <c r="X49" s="184"/>
      <c r="Y49" s="184"/>
      <c r="Z49" s="184"/>
    </row>
    <row r="50" spans="1:33" ht="15.75" customHeight="1">
      <c r="A50" s="409" t="s">
        <v>869</v>
      </c>
      <c r="B50" s="405" t="s">
        <v>889</v>
      </c>
      <c r="C50" s="449" t="s">
        <v>960</v>
      </c>
      <c r="D50" s="182" t="s">
        <v>37</v>
      </c>
      <c r="E50" s="421">
        <v>45576</v>
      </c>
      <c r="F50" s="421">
        <v>45581</v>
      </c>
      <c r="G50" s="421"/>
      <c r="H50" s="421">
        <v>45582</v>
      </c>
      <c r="I50" s="422">
        <f ca="1">IF(ISBLANK(H50), NETWORKDAYS(F50, TODAY(),fESTIVOS!$A$1:$A$18), NETWORKDAYS(F50, H50, fESTIVOS!$A$1:$A$18))</f>
        <v>2</v>
      </c>
      <c r="J50" s="421">
        <v>45582</v>
      </c>
      <c r="K50" s="181"/>
      <c r="L50" s="181" t="s">
        <v>961</v>
      </c>
      <c r="M50" s="448"/>
      <c r="N50" s="184"/>
      <c r="O50" s="184"/>
      <c r="P50" s="184"/>
      <c r="Q50" s="184"/>
      <c r="R50" s="184"/>
      <c r="S50" s="184"/>
      <c r="T50" s="184"/>
      <c r="U50" s="184"/>
      <c r="V50" s="184"/>
      <c r="W50" s="184"/>
      <c r="X50" s="184"/>
      <c r="Y50" s="184"/>
      <c r="Z50" s="184"/>
      <c r="AA50" s="223"/>
      <c r="AB50" s="223"/>
      <c r="AC50" s="223"/>
      <c r="AD50" s="223"/>
      <c r="AE50" s="223"/>
      <c r="AF50" s="223"/>
      <c r="AG50" s="223"/>
    </row>
    <row r="51" spans="1:33" ht="15.75" customHeight="1">
      <c r="A51" s="216" t="s">
        <v>603</v>
      </c>
      <c r="B51" s="444" t="s">
        <v>936</v>
      </c>
      <c r="C51" s="441" t="s">
        <v>962</v>
      </c>
      <c r="D51" s="442" t="s">
        <v>37</v>
      </c>
      <c r="E51" s="220">
        <v>45581</v>
      </c>
      <c r="F51" s="220">
        <v>45582</v>
      </c>
      <c r="G51" s="220"/>
      <c r="H51" s="220">
        <v>45583</v>
      </c>
      <c r="I51" s="198">
        <f ca="1">IF(ISBLANK(H51), NETWORKDAYS(F51, TODAY(),fESTIVOS!$A$1:$A$18), NETWORKDAYS(F51, H51, fESTIVOS!$A$1:$A$18))</f>
        <v>2</v>
      </c>
      <c r="J51" s="220"/>
      <c r="K51" s="220"/>
      <c r="L51" s="443" t="s">
        <v>963</v>
      </c>
      <c r="M51" s="413"/>
      <c r="N51" s="178"/>
      <c r="O51" s="178"/>
      <c r="P51" s="178"/>
      <c r="Q51" s="178"/>
      <c r="R51" s="178"/>
      <c r="S51" s="178"/>
      <c r="T51" s="178"/>
      <c r="U51" s="178"/>
      <c r="V51" s="178"/>
      <c r="W51" s="178"/>
      <c r="X51" s="178"/>
      <c r="Y51" s="178"/>
      <c r="Z51" s="178"/>
    </row>
    <row r="52" spans="1:33" ht="15.75" customHeight="1">
      <c r="A52" s="177" t="s">
        <v>596</v>
      </c>
      <c r="B52" s="395" t="s">
        <v>600</v>
      </c>
      <c r="C52" s="452" t="s">
        <v>964</v>
      </c>
      <c r="D52" s="453" t="s">
        <v>45</v>
      </c>
      <c r="E52" s="454">
        <v>45582</v>
      </c>
      <c r="F52" s="455">
        <v>45582</v>
      </c>
      <c r="G52" s="455"/>
      <c r="H52" s="455">
        <v>45582</v>
      </c>
      <c r="I52" s="403">
        <f ca="1">IF(ISBLANK(H52), NETWORKDAYS(F52, TODAY(),fESTIVOS!$A$1:$A$18), NETWORKDAYS(F52, H52, fESTIVOS!$A$1:$A$18))</f>
        <v>1</v>
      </c>
      <c r="J52" s="455">
        <v>45582</v>
      </c>
      <c r="K52" s="455"/>
      <c r="L52" s="456" t="s">
        <v>965</v>
      </c>
      <c r="M52" s="178"/>
      <c r="N52" s="178"/>
      <c r="O52" s="178"/>
      <c r="P52" s="178"/>
      <c r="Q52" s="178"/>
      <c r="R52" s="178"/>
      <c r="S52" s="178"/>
      <c r="T52" s="178"/>
      <c r="U52" s="178"/>
      <c r="V52" s="178"/>
      <c r="W52" s="178"/>
      <c r="X52" s="178"/>
      <c r="Y52" s="178"/>
      <c r="Z52" s="178"/>
      <c r="AA52" s="223"/>
      <c r="AB52" s="223"/>
      <c r="AC52" s="223"/>
      <c r="AD52" s="223"/>
      <c r="AE52" s="223"/>
      <c r="AF52" s="223"/>
      <c r="AG52" s="223"/>
    </row>
    <row r="53" spans="1:33" ht="15.75" customHeight="1">
      <c r="A53" s="177" t="s">
        <v>596</v>
      </c>
      <c r="B53" s="395" t="s">
        <v>600</v>
      </c>
      <c r="C53" s="452" t="s">
        <v>966</v>
      </c>
      <c r="D53" s="426" t="s">
        <v>37</v>
      </c>
      <c r="E53" s="457">
        <v>45560</v>
      </c>
      <c r="F53" s="458">
        <v>45572</v>
      </c>
      <c r="G53" s="458"/>
      <c r="H53" s="458">
        <v>45574</v>
      </c>
      <c r="I53" s="403">
        <f ca="1">IF(ISBLANK(H53), NETWORKDAYS(F53, TODAY(),fESTIVOS!$A$1:$A$18), NETWORKDAYS(F53, H53, fESTIVOS!$A$1:$A$18))</f>
        <v>3</v>
      </c>
      <c r="J53" s="455">
        <v>45582</v>
      </c>
      <c r="K53" s="458"/>
      <c r="L53" s="459" t="s">
        <v>967</v>
      </c>
      <c r="M53" s="178"/>
      <c r="N53" s="178"/>
      <c r="O53" s="178"/>
      <c r="P53" s="178"/>
      <c r="Q53" s="178"/>
      <c r="R53" s="178"/>
      <c r="S53" s="178"/>
      <c r="T53" s="178"/>
      <c r="U53" s="178"/>
      <c r="V53" s="178"/>
      <c r="W53" s="178"/>
      <c r="X53" s="178"/>
      <c r="Y53" s="178"/>
      <c r="Z53" s="178"/>
    </row>
    <row r="54" spans="1:33" ht="15.75" customHeight="1">
      <c r="A54" s="412" t="s">
        <v>869</v>
      </c>
      <c r="B54" s="186" t="s">
        <v>889</v>
      </c>
      <c r="C54" s="438" t="s">
        <v>968</v>
      </c>
      <c r="D54" s="410" t="s">
        <v>37</v>
      </c>
      <c r="E54" s="188">
        <v>45583</v>
      </c>
      <c r="F54" s="460">
        <v>45583</v>
      </c>
      <c r="G54" s="188"/>
      <c r="H54" s="188">
        <v>45586</v>
      </c>
      <c r="I54" s="190">
        <f ca="1">IF(ISBLANK(H54), NETWORKDAYS(F54, TODAY(),fESTIVOS!$A$1:$A$18), NETWORKDAYS(F54, H54, fESTIVOS!$A$1:$A$18))</f>
        <v>2</v>
      </c>
      <c r="J54" s="188">
        <v>45586</v>
      </c>
      <c r="K54" s="447"/>
      <c r="L54" s="447" t="s">
        <v>969</v>
      </c>
      <c r="M54" s="448"/>
      <c r="N54" s="184"/>
      <c r="O54" s="184"/>
      <c r="P54" s="184"/>
      <c r="Q54" s="184"/>
      <c r="R54" s="184"/>
      <c r="S54" s="184"/>
      <c r="T54" s="184"/>
      <c r="U54" s="184"/>
      <c r="V54" s="184"/>
      <c r="W54" s="184"/>
      <c r="X54" s="184"/>
      <c r="Y54" s="184"/>
      <c r="Z54" s="184"/>
    </row>
    <row r="55" spans="1:33" ht="15.75" customHeight="1">
      <c r="A55" s="415" t="s">
        <v>869</v>
      </c>
      <c r="B55" s="445" t="s">
        <v>889</v>
      </c>
      <c r="C55" s="461" t="s">
        <v>970</v>
      </c>
      <c r="D55" s="182" t="s">
        <v>37</v>
      </c>
      <c r="E55" s="457">
        <v>45583</v>
      </c>
      <c r="F55" s="458">
        <v>45583</v>
      </c>
      <c r="G55" s="458"/>
      <c r="H55" s="458">
        <v>45583</v>
      </c>
      <c r="I55" s="403">
        <f ca="1">IF(ISBLANK(H55), NETWORKDAYS(F55, TODAY(),fESTIVOS!$A$1:$A$18), NETWORKDAYS(F55, H55, fESTIVOS!$A$1:$A$18))</f>
        <v>1</v>
      </c>
      <c r="J55" s="458">
        <v>45583</v>
      </c>
      <c r="K55" s="436"/>
      <c r="L55" s="436"/>
      <c r="M55" s="448"/>
      <c r="N55" s="184"/>
      <c r="O55" s="184"/>
      <c r="P55" s="184"/>
      <c r="Q55" s="184"/>
      <c r="R55" s="184"/>
      <c r="S55" s="184"/>
      <c r="T55" s="184"/>
      <c r="U55" s="184"/>
      <c r="V55" s="184"/>
      <c r="W55" s="184"/>
      <c r="X55" s="184"/>
      <c r="Y55" s="184"/>
      <c r="Z55" s="184"/>
      <c r="AA55" s="223"/>
      <c r="AB55" s="223"/>
      <c r="AC55" s="223"/>
      <c r="AD55" s="223"/>
      <c r="AE55" s="223"/>
      <c r="AF55" s="223"/>
      <c r="AG55" s="223"/>
    </row>
    <row r="56" spans="1:33" ht="15.75" customHeight="1">
      <c r="A56" s="412" t="s">
        <v>869</v>
      </c>
      <c r="B56" s="186" t="s">
        <v>889</v>
      </c>
      <c r="C56" s="208" t="s">
        <v>971</v>
      </c>
      <c r="D56" s="410" t="s">
        <v>37</v>
      </c>
      <c r="E56" s="457">
        <v>45586</v>
      </c>
      <c r="F56" s="457">
        <v>45586</v>
      </c>
      <c r="G56" s="458"/>
      <c r="H56" s="458">
        <v>45587</v>
      </c>
      <c r="I56" s="403">
        <f ca="1">IF(ISBLANK(H56), NETWORKDAYS(F56, TODAY(),fESTIVOS!$A$1:$A$18), NETWORKDAYS(F56, H56, fESTIVOS!$A$1:$A$18))</f>
        <v>2</v>
      </c>
      <c r="J56" s="458">
        <v>45587</v>
      </c>
      <c r="K56" s="436"/>
      <c r="L56" s="438" t="s">
        <v>972</v>
      </c>
      <c r="M56" s="448"/>
      <c r="N56" s="184"/>
      <c r="O56" s="184"/>
      <c r="P56" s="184"/>
      <c r="Q56" s="184"/>
      <c r="R56" s="184"/>
      <c r="S56" s="184"/>
      <c r="T56" s="184"/>
      <c r="U56" s="184"/>
      <c r="V56" s="184"/>
      <c r="W56" s="184"/>
      <c r="X56" s="184"/>
      <c r="Y56" s="184"/>
      <c r="Z56" s="184"/>
      <c r="AA56" s="223"/>
      <c r="AB56" s="223"/>
      <c r="AC56" s="223"/>
      <c r="AD56" s="223"/>
      <c r="AE56" s="223"/>
      <c r="AF56" s="223"/>
      <c r="AG56" s="223"/>
    </row>
    <row r="57" spans="1:33" ht="15.75" customHeight="1">
      <c r="A57" s="412" t="s">
        <v>869</v>
      </c>
      <c r="B57" s="445" t="s">
        <v>889</v>
      </c>
      <c r="C57" s="462" t="s">
        <v>973</v>
      </c>
      <c r="D57" s="410" t="s">
        <v>37</v>
      </c>
      <c r="E57" s="457">
        <v>45586</v>
      </c>
      <c r="F57" s="457">
        <v>45587</v>
      </c>
      <c r="G57" s="458"/>
      <c r="H57" s="458">
        <v>45587</v>
      </c>
      <c r="I57" s="403">
        <f ca="1">IF(ISBLANK(H57), NETWORKDAYS(F57, TODAY(),fESTIVOS!$A$1:$A$18), NETWORKDAYS(F57, H57, fESTIVOS!$A$1:$A$18))</f>
        <v>1</v>
      </c>
      <c r="J57" s="458">
        <v>45587</v>
      </c>
      <c r="K57" s="436"/>
      <c r="L57" s="436" t="s">
        <v>974</v>
      </c>
      <c r="M57" s="448"/>
      <c r="N57" s="184"/>
      <c r="O57" s="184"/>
      <c r="P57" s="184"/>
      <c r="Q57" s="184"/>
      <c r="R57" s="184"/>
      <c r="S57" s="184"/>
      <c r="T57" s="184"/>
      <c r="U57" s="184"/>
      <c r="V57" s="184"/>
      <c r="W57" s="184"/>
      <c r="X57" s="184"/>
      <c r="Y57" s="184"/>
      <c r="Z57" s="184"/>
      <c r="AA57" s="223"/>
      <c r="AB57" s="223"/>
      <c r="AC57" s="223"/>
      <c r="AD57" s="223"/>
      <c r="AE57" s="223"/>
      <c r="AF57" s="223"/>
      <c r="AG57" s="223"/>
    </row>
    <row r="58" spans="1:33" ht="15.75" customHeight="1">
      <c r="A58" s="439" t="s">
        <v>611</v>
      </c>
      <c r="B58" s="440" t="s">
        <v>936</v>
      </c>
      <c r="C58" s="441" t="s">
        <v>975</v>
      </c>
      <c r="D58" s="442" t="s">
        <v>37</v>
      </c>
      <c r="E58" s="220">
        <v>45561</v>
      </c>
      <c r="F58" s="220">
        <v>45572</v>
      </c>
      <c r="G58" s="220"/>
      <c r="H58" s="220">
        <v>45587</v>
      </c>
      <c r="I58" s="198">
        <f ca="1">IF(ISBLANK(H58), NETWORKDAYS(F58, TODAY(),fESTIVOS!$A$1:$A$18), NETWORKDAYS(F58, H58, fESTIVOS!$A$1:$A$18))</f>
        <v>11</v>
      </c>
      <c r="J58" s="220">
        <v>45587</v>
      </c>
      <c r="K58" s="220"/>
      <c r="L58" s="443" t="s">
        <v>976</v>
      </c>
      <c r="M58" s="178"/>
      <c r="N58" s="178"/>
      <c r="O58" s="178"/>
      <c r="P58" s="178"/>
      <c r="Q58" s="178"/>
      <c r="R58" s="178"/>
      <c r="S58" s="178"/>
      <c r="T58" s="178"/>
      <c r="U58" s="178"/>
      <c r="V58" s="178"/>
      <c r="W58" s="178"/>
      <c r="X58" s="178"/>
      <c r="Y58" s="178"/>
      <c r="Z58" s="178"/>
    </row>
    <row r="59" spans="1:33" ht="15.75" customHeight="1">
      <c r="A59" s="409" t="s">
        <v>596</v>
      </c>
      <c r="B59" s="399" t="s">
        <v>977</v>
      </c>
      <c r="C59" s="463" t="s">
        <v>978</v>
      </c>
      <c r="D59" s="400" t="s">
        <v>37</v>
      </c>
      <c r="E59" s="401">
        <v>45576</v>
      </c>
      <c r="F59" s="401">
        <v>45576</v>
      </c>
      <c r="G59" s="401"/>
      <c r="H59" s="401">
        <v>45576</v>
      </c>
      <c r="I59" s="464">
        <f ca="1">IF(ISBLANK(H59), NETWORKDAYS(F59, TODAY(),fESTIVOS!$A$1:$A$18), NETWORKDAYS(F59, H59, fESTIVOS!$A$1:$A$18))</f>
        <v>1</v>
      </c>
      <c r="J59" s="401">
        <v>45576</v>
      </c>
      <c r="K59" s="401">
        <v>45587</v>
      </c>
      <c r="L59" s="465" t="s">
        <v>979</v>
      </c>
      <c r="M59" s="178"/>
      <c r="N59" s="178"/>
      <c r="O59" s="178"/>
      <c r="P59" s="178"/>
      <c r="Q59" s="178"/>
      <c r="R59" s="178"/>
      <c r="S59" s="178"/>
      <c r="T59" s="178"/>
      <c r="U59" s="178"/>
      <c r="V59" s="178"/>
      <c r="W59" s="178"/>
      <c r="X59" s="178"/>
      <c r="Y59" s="178"/>
      <c r="Z59" s="178"/>
    </row>
    <row r="60" spans="1:33" ht="15.75" customHeight="1">
      <c r="A60" s="439" t="s">
        <v>611</v>
      </c>
      <c r="B60" s="439" t="s">
        <v>980</v>
      </c>
      <c r="C60" s="439" t="s">
        <v>981</v>
      </c>
      <c r="D60" s="439" t="s">
        <v>37</v>
      </c>
      <c r="E60" s="466">
        <v>45587</v>
      </c>
      <c r="F60" s="466">
        <v>45588</v>
      </c>
      <c r="G60" s="439"/>
      <c r="H60" s="466">
        <v>45588</v>
      </c>
      <c r="I60" s="198">
        <f ca="1">IF(ISBLANK(H60), NETWORKDAYS(F60, TODAY(),fESTIVOS!$A$1:$A$18), NETWORKDAYS(F60, H60, fESTIVOS!$A$1:$A$18))</f>
        <v>1</v>
      </c>
      <c r="J60" s="439"/>
      <c r="K60" s="439"/>
      <c r="L60" s="467" t="s">
        <v>982</v>
      </c>
      <c r="M60" s="468"/>
      <c r="N60" s="468"/>
      <c r="O60" s="468"/>
      <c r="P60" s="468"/>
      <c r="Q60" s="468"/>
      <c r="R60" s="468"/>
      <c r="S60" s="468"/>
      <c r="T60" s="468"/>
      <c r="U60" s="468"/>
      <c r="V60" s="468"/>
      <c r="W60" s="468"/>
      <c r="X60" s="468"/>
      <c r="Y60" s="468"/>
      <c r="Z60" s="468"/>
      <c r="AA60" s="468"/>
      <c r="AB60" s="468"/>
      <c r="AC60" s="468"/>
      <c r="AD60" s="468"/>
      <c r="AE60" s="468"/>
      <c r="AF60" s="468"/>
      <c r="AG60" s="468"/>
    </row>
    <row r="61" spans="1:33" ht="15.75" customHeight="1">
      <c r="A61" s="439" t="s">
        <v>611</v>
      </c>
      <c r="B61" s="439" t="s">
        <v>980</v>
      </c>
      <c r="C61" s="439" t="s">
        <v>983</v>
      </c>
      <c r="D61" s="439" t="s">
        <v>37</v>
      </c>
      <c r="E61" s="466">
        <v>45587</v>
      </c>
      <c r="F61" s="466">
        <v>45588</v>
      </c>
      <c r="G61" s="439"/>
      <c r="H61" s="466">
        <v>45588</v>
      </c>
      <c r="I61" s="198">
        <f ca="1">IF(ISBLANK(H61), NETWORKDAYS(F61, TODAY(),fESTIVOS!$A$1:$A$18), NETWORKDAYS(F61, H61, fESTIVOS!$A$1:$A$18))</f>
        <v>1</v>
      </c>
      <c r="J61" s="439"/>
      <c r="K61" s="439"/>
      <c r="L61" s="467" t="s">
        <v>984</v>
      </c>
      <c r="M61" s="468"/>
      <c r="N61" s="468"/>
      <c r="O61" s="468"/>
      <c r="P61" s="468"/>
      <c r="Q61" s="468"/>
      <c r="R61" s="468"/>
      <c r="S61" s="468"/>
      <c r="T61" s="468"/>
      <c r="U61" s="468"/>
      <c r="V61" s="468"/>
      <c r="W61" s="468"/>
      <c r="X61" s="468"/>
      <c r="Y61" s="468"/>
      <c r="Z61" s="468"/>
      <c r="AA61" s="468"/>
      <c r="AB61" s="468"/>
      <c r="AC61" s="468"/>
      <c r="AD61" s="468"/>
      <c r="AE61" s="468"/>
      <c r="AF61" s="468"/>
      <c r="AG61" s="468"/>
    </row>
    <row r="62" spans="1:33" ht="15.75" customHeight="1">
      <c r="A62" s="439" t="s">
        <v>611</v>
      </c>
      <c r="B62" s="439" t="s">
        <v>980</v>
      </c>
      <c r="C62" s="439" t="s">
        <v>985</v>
      </c>
      <c r="D62" s="439" t="s">
        <v>37</v>
      </c>
      <c r="E62" s="466">
        <v>45587</v>
      </c>
      <c r="F62" s="466">
        <v>45588</v>
      </c>
      <c r="G62" s="439"/>
      <c r="H62" s="466">
        <v>45588</v>
      </c>
      <c r="I62" s="198">
        <f ca="1">IF(ISBLANK(H62), NETWORKDAYS(F62, TODAY(),fESTIVOS!$A$1:$A$18), NETWORKDAYS(F62, H62, fESTIVOS!$A$1:$A$18))</f>
        <v>1</v>
      </c>
      <c r="J62" s="439"/>
      <c r="K62" s="439"/>
      <c r="L62" s="467" t="s">
        <v>986</v>
      </c>
      <c r="M62" s="468"/>
      <c r="N62" s="468"/>
      <c r="O62" s="468"/>
      <c r="P62" s="468"/>
      <c r="Q62" s="468"/>
      <c r="R62" s="468"/>
      <c r="S62" s="468"/>
      <c r="T62" s="468"/>
      <c r="U62" s="468"/>
      <c r="V62" s="468"/>
      <c r="W62" s="468"/>
      <c r="X62" s="468"/>
      <c r="Y62" s="468"/>
      <c r="Z62" s="468"/>
      <c r="AA62" s="468"/>
      <c r="AB62" s="468"/>
      <c r="AC62" s="468"/>
      <c r="AD62" s="468"/>
      <c r="AE62" s="468"/>
      <c r="AF62" s="468"/>
      <c r="AG62" s="468"/>
    </row>
    <row r="63" spans="1:33" ht="15.75" customHeight="1">
      <c r="A63" s="469" t="s">
        <v>603</v>
      </c>
      <c r="B63" s="470" t="s">
        <v>987</v>
      </c>
      <c r="C63" s="471" t="s">
        <v>988</v>
      </c>
      <c r="D63" s="472" t="s">
        <v>989</v>
      </c>
      <c r="E63" s="473">
        <v>45559</v>
      </c>
      <c r="F63" s="473">
        <v>45576</v>
      </c>
      <c r="G63" s="474"/>
      <c r="H63" s="475">
        <v>45581</v>
      </c>
      <c r="I63" s="476">
        <f ca="1">IF(ISBLANK(H63), NETWORKDAYS(F63, TODAY(),fESTIVOS!$A$1:$A$18), NETWORKDAYS(F63, H63, fESTIVOS!$A$1:$A$18))</f>
        <v>3</v>
      </c>
      <c r="J63" s="475">
        <v>45581</v>
      </c>
      <c r="K63" s="477">
        <v>45583</v>
      </c>
      <c r="L63" s="478" t="s">
        <v>990</v>
      </c>
      <c r="M63" s="184"/>
      <c r="N63" s="184"/>
      <c r="O63" s="184"/>
      <c r="P63" s="184"/>
      <c r="Q63" s="184"/>
      <c r="R63" s="184"/>
      <c r="S63" s="184"/>
      <c r="T63" s="184"/>
      <c r="U63" s="184"/>
      <c r="V63" s="184"/>
      <c r="W63" s="184"/>
      <c r="X63" s="184"/>
      <c r="Y63" s="184"/>
      <c r="Z63" s="184"/>
    </row>
    <row r="64" spans="1:33" ht="15.75" customHeight="1">
      <c r="A64" s="189" t="s">
        <v>621</v>
      </c>
      <c r="B64" s="406" t="s">
        <v>991</v>
      </c>
      <c r="C64" s="396"/>
      <c r="D64" s="367" t="s">
        <v>992</v>
      </c>
      <c r="E64" s="188">
        <v>45562</v>
      </c>
      <c r="F64" s="188">
        <v>45562</v>
      </c>
      <c r="G64" s="189"/>
      <c r="H64" s="188">
        <v>45566</v>
      </c>
      <c r="I64" s="190">
        <f ca="1">IF(ISBLANK(H64), NETWORKDAYS(F64, TODAY(),fESTIVOS!$A$1:$A$18), NETWORKDAYS(F64, H64, fESTIVOS!$A$1:$A$18))</f>
        <v>3</v>
      </c>
      <c r="J64" s="188">
        <v>45566</v>
      </c>
      <c r="K64" s="188">
        <v>45590</v>
      </c>
      <c r="L64" s="191" t="s">
        <v>993</v>
      </c>
      <c r="M64" s="178"/>
      <c r="N64" s="178"/>
      <c r="O64" s="178"/>
      <c r="P64" s="178"/>
      <c r="Q64" s="178"/>
      <c r="R64" s="178"/>
      <c r="S64" s="178"/>
      <c r="T64" s="178"/>
      <c r="U64" s="178"/>
      <c r="V64" s="178"/>
      <c r="W64" s="178"/>
      <c r="X64" s="178"/>
      <c r="Y64" s="178"/>
      <c r="Z64" s="178"/>
    </row>
    <row r="65" spans="1:33" ht="15.75" customHeight="1">
      <c r="A65" s="416" t="s">
        <v>596</v>
      </c>
      <c r="B65" s="395" t="s">
        <v>600</v>
      </c>
      <c r="C65" s="479" t="s">
        <v>994</v>
      </c>
      <c r="D65" s="400" t="s">
        <v>37</v>
      </c>
      <c r="E65" s="480">
        <v>45587</v>
      </c>
      <c r="F65" s="401">
        <v>45587</v>
      </c>
      <c r="G65" s="401"/>
      <c r="H65" s="401">
        <v>45589</v>
      </c>
      <c r="I65" s="464">
        <f ca="1">IF(ISBLANK(H65), NETWORKDAYS(F65, TODAY(),fESTIVOS!$A$1:$A$18), NETWORKDAYS(F65, H65, fESTIVOS!$A$1:$A$18))</f>
        <v>3</v>
      </c>
      <c r="J65" s="401">
        <v>45589</v>
      </c>
      <c r="K65" s="401"/>
      <c r="L65" s="404" t="s">
        <v>995</v>
      </c>
      <c r="M65" s="178"/>
      <c r="N65" s="178"/>
      <c r="O65" s="178"/>
      <c r="P65" s="178"/>
      <c r="Q65" s="178"/>
      <c r="R65" s="178"/>
      <c r="S65" s="178"/>
      <c r="T65" s="178"/>
      <c r="U65" s="178"/>
      <c r="V65" s="178"/>
      <c r="W65" s="178"/>
      <c r="X65" s="178"/>
      <c r="Y65" s="178"/>
      <c r="Z65" s="178"/>
      <c r="AA65" s="223"/>
      <c r="AB65" s="223"/>
      <c r="AC65" s="223"/>
      <c r="AD65" s="223"/>
      <c r="AE65" s="223"/>
      <c r="AF65" s="223"/>
      <c r="AG65" s="223"/>
    </row>
    <row r="66" spans="1:33" ht="15.75" customHeight="1">
      <c r="A66" s="177" t="s">
        <v>596</v>
      </c>
      <c r="B66" s="186" t="s">
        <v>608</v>
      </c>
      <c r="C66" s="187" t="s">
        <v>996</v>
      </c>
      <c r="D66" s="410" t="s">
        <v>997</v>
      </c>
      <c r="E66" s="188">
        <v>45572</v>
      </c>
      <c r="F66" s="188">
        <v>45574</v>
      </c>
      <c r="G66" s="188"/>
      <c r="H66" s="188">
        <v>45574</v>
      </c>
      <c r="I66" s="190">
        <f ca="1">IF(ISBLANK(H66), NETWORKDAYS(F66, TODAY(),fESTIVOS!$A$1:$A$18), NETWORKDAYS(F66, H66, fESTIVOS!$A$1:$A$18))</f>
        <v>1</v>
      </c>
      <c r="J66" s="188">
        <v>45574</v>
      </c>
      <c r="K66" s="188"/>
      <c r="L66" s="191" t="s">
        <v>998</v>
      </c>
      <c r="M66" s="178"/>
      <c r="N66" s="178"/>
      <c r="O66" s="178"/>
      <c r="P66" s="178"/>
      <c r="Q66" s="178"/>
      <c r="R66" s="178"/>
      <c r="S66" s="178"/>
      <c r="T66" s="178"/>
      <c r="U66" s="178"/>
      <c r="V66" s="178"/>
      <c r="W66" s="178"/>
      <c r="X66" s="178"/>
      <c r="Y66" s="178"/>
      <c r="Z66" s="178"/>
    </row>
    <row r="67" spans="1:33" ht="15.75" customHeight="1">
      <c r="A67" s="412" t="s">
        <v>869</v>
      </c>
      <c r="B67" s="186" t="s">
        <v>999</v>
      </c>
      <c r="C67" s="226" t="s">
        <v>1000</v>
      </c>
      <c r="D67" s="189" t="s">
        <v>37</v>
      </c>
      <c r="E67" s="188">
        <v>45588</v>
      </c>
      <c r="F67" s="460">
        <v>45589</v>
      </c>
      <c r="G67" s="188"/>
      <c r="H67" s="188">
        <v>45589</v>
      </c>
      <c r="I67" s="190">
        <f ca="1">IF(ISBLANK(H67), NETWORKDAYS(F67, TODAY(),fESTIVOS!$A$1:$A$18), NETWORKDAYS(F67, H67, fESTIVOS!$A$1:$A$18))</f>
        <v>1</v>
      </c>
      <c r="J67" s="447"/>
      <c r="K67" s="447"/>
      <c r="L67" s="481" t="s">
        <v>1001</v>
      </c>
      <c r="M67" s="448"/>
      <c r="N67" s="184"/>
      <c r="O67" s="184"/>
      <c r="P67" s="184"/>
      <c r="Q67" s="184"/>
      <c r="R67" s="184"/>
      <c r="S67" s="184"/>
      <c r="T67" s="184"/>
      <c r="U67" s="184"/>
      <c r="V67" s="184"/>
      <c r="W67" s="184"/>
      <c r="X67" s="184"/>
      <c r="Y67" s="184"/>
      <c r="Z67" s="184"/>
      <c r="AA67" s="223"/>
      <c r="AB67" s="223"/>
      <c r="AC67" s="223"/>
      <c r="AD67" s="223"/>
      <c r="AE67" s="223"/>
      <c r="AF67" s="223"/>
      <c r="AG67" s="223"/>
    </row>
    <row r="68" spans="1:33" ht="15.75" customHeight="1">
      <c r="A68" s="417" t="s">
        <v>1002</v>
      </c>
      <c r="B68" s="482" t="s">
        <v>1003</v>
      </c>
      <c r="C68" s="482" t="s">
        <v>1004</v>
      </c>
      <c r="D68" s="420" t="s">
        <v>37</v>
      </c>
      <c r="E68" s="421">
        <v>45568</v>
      </c>
      <c r="F68" s="421">
        <v>45568</v>
      </c>
      <c r="H68" s="421">
        <v>45589</v>
      </c>
      <c r="I68" s="190">
        <f ca="1">IF(ISBLANK(H68), NETWORKDAYS(F68, TODAY(),fESTIVOS!$A$1:$A$18), NETWORKDAYS(F68, H68, fESTIVOS!$A$1:$A$18))</f>
        <v>15</v>
      </c>
      <c r="J68" s="421">
        <v>45589</v>
      </c>
      <c r="K68" s="421"/>
      <c r="L68" s="423" t="s">
        <v>1005</v>
      </c>
      <c r="M68" s="178"/>
      <c r="N68" s="178"/>
      <c r="O68" s="178"/>
      <c r="P68" s="178"/>
      <c r="Q68" s="178"/>
      <c r="R68" s="178"/>
      <c r="S68" s="178"/>
      <c r="T68" s="178"/>
      <c r="U68" s="178"/>
      <c r="V68" s="178"/>
      <c r="W68" s="178"/>
      <c r="X68" s="178"/>
      <c r="Y68" s="178"/>
      <c r="Z68" s="178"/>
    </row>
    <row r="69" spans="1:33" ht="15.75" customHeight="1">
      <c r="A69" s="192" t="s">
        <v>603</v>
      </c>
      <c r="B69" s="483" t="s">
        <v>1006</v>
      </c>
      <c r="C69" s="195" t="s">
        <v>1007</v>
      </c>
      <c r="D69" s="195" t="s">
        <v>37</v>
      </c>
      <c r="E69" s="220">
        <v>45588</v>
      </c>
      <c r="F69" s="220">
        <v>45588</v>
      </c>
      <c r="G69" s="220">
        <v>45590</v>
      </c>
      <c r="H69" s="220">
        <v>45590</v>
      </c>
      <c r="I69" s="198">
        <f ca="1">IF(ISBLANK(H69), NETWORKDAYS(F69, TODAY(),fESTIVOS!$A$1:$A$18), NETWORKDAYS(F69, H69, fESTIVOS!$A$1:$A$18))</f>
        <v>3</v>
      </c>
      <c r="J69" s="220">
        <v>45590</v>
      </c>
      <c r="K69" s="220"/>
      <c r="L69" s="443" t="s">
        <v>1008</v>
      </c>
      <c r="M69" s="413"/>
      <c r="N69" s="178"/>
      <c r="O69" s="178"/>
      <c r="P69" s="178"/>
      <c r="Q69" s="178"/>
      <c r="R69" s="178"/>
      <c r="S69" s="178"/>
      <c r="T69" s="178"/>
      <c r="U69" s="178"/>
      <c r="V69" s="178"/>
      <c r="W69" s="178"/>
      <c r="X69" s="178"/>
      <c r="Y69" s="178"/>
      <c r="Z69" s="178"/>
      <c r="AA69" s="223"/>
      <c r="AB69" s="223"/>
      <c r="AC69" s="223"/>
      <c r="AD69" s="223"/>
      <c r="AE69" s="223"/>
      <c r="AF69" s="223"/>
      <c r="AG69" s="223"/>
    </row>
    <row r="70" spans="1:33" ht="15.75" customHeight="1">
      <c r="A70" s="192" t="s">
        <v>603</v>
      </c>
      <c r="B70" s="483" t="s">
        <v>1006</v>
      </c>
      <c r="C70" s="195" t="s">
        <v>1009</v>
      </c>
      <c r="D70" s="195" t="s">
        <v>37</v>
      </c>
      <c r="E70" s="220">
        <v>45588</v>
      </c>
      <c r="F70" s="220">
        <v>45588</v>
      </c>
      <c r="G70" s="220">
        <v>45590</v>
      </c>
      <c r="H70" s="220">
        <v>45590</v>
      </c>
      <c r="I70" s="198">
        <f ca="1">IF(ISBLANK(H70), NETWORKDAYS(F70, TODAY(),fESTIVOS!$A$1:$A$18), NETWORKDAYS(F70, H70, fESTIVOS!$A$1:$A$18))</f>
        <v>3</v>
      </c>
      <c r="J70" s="220">
        <v>45593</v>
      </c>
      <c r="K70" s="220"/>
      <c r="L70" s="443" t="s">
        <v>1010</v>
      </c>
      <c r="M70" s="413"/>
      <c r="N70" s="178"/>
      <c r="O70" s="178"/>
      <c r="P70" s="178"/>
      <c r="Q70" s="178"/>
      <c r="R70" s="178"/>
      <c r="S70" s="178"/>
      <c r="T70" s="178"/>
      <c r="U70" s="178"/>
      <c r="V70" s="178"/>
      <c r="W70" s="178"/>
      <c r="X70" s="178"/>
      <c r="Y70" s="178"/>
      <c r="Z70" s="178"/>
      <c r="AA70" s="223"/>
      <c r="AB70" s="223"/>
      <c r="AC70" s="223"/>
      <c r="AD70" s="223"/>
      <c r="AE70" s="223"/>
      <c r="AF70" s="223"/>
      <c r="AG70" s="223"/>
    </row>
    <row r="71" spans="1:33" ht="15.75" customHeight="1">
      <c r="A71" s="177" t="s">
        <v>596</v>
      </c>
      <c r="B71" s="395" t="s">
        <v>600</v>
      </c>
      <c r="C71" s="452" t="s">
        <v>1011</v>
      </c>
      <c r="D71" s="426" t="s">
        <v>37</v>
      </c>
      <c r="E71" s="457">
        <v>45588</v>
      </c>
      <c r="F71" s="457">
        <v>45588</v>
      </c>
      <c r="G71" s="458"/>
      <c r="H71" s="458">
        <v>45589</v>
      </c>
      <c r="I71" s="403">
        <f ca="1">IF(ISBLANK(H71), NETWORKDAYS(F71, TODAY(),fESTIVOS!$A$1:$A$18), NETWORKDAYS(F71, H71, fESTIVOS!$A$1:$A$18))</f>
        <v>2</v>
      </c>
      <c r="J71" s="458">
        <v>45589</v>
      </c>
      <c r="K71" s="458"/>
      <c r="L71" s="459" t="s">
        <v>1012</v>
      </c>
      <c r="M71" s="178"/>
      <c r="N71" s="178"/>
      <c r="O71" s="178"/>
      <c r="P71" s="178"/>
      <c r="Q71" s="178"/>
      <c r="R71" s="178"/>
      <c r="S71" s="178"/>
      <c r="T71" s="178"/>
      <c r="U71" s="178"/>
      <c r="V71" s="178"/>
      <c r="W71" s="178"/>
      <c r="X71" s="178"/>
      <c r="Y71" s="178"/>
      <c r="Z71" s="178"/>
      <c r="AA71" s="223"/>
      <c r="AB71" s="223"/>
      <c r="AC71" s="223"/>
      <c r="AD71" s="223"/>
      <c r="AE71" s="223"/>
      <c r="AF71" s="223"/>
      <c r="AG71" s="223"/>
    </row>
    <row r="72" spans="1:33" ht="15.75" customHeight="1">
      <c r="A72" s="177" t="s">
        <v>596</v>
      </c>
      <c r="B72" s="395" t="s">
        <v>600</v>
      </c>
      <c r="C72" s="484" t="s">
        <v>1013</v>
      </c>
      <c r="D72" s="426" t="s">
        <v>37</v>
      </c>
      <c r="E72" s="457">
        <v>45589</v>
      </c>
      <c r="F72" s="458">
        <v>45589</v>
      </c>
      <c r="G72" s="458"/>
      <c r="H72" s="458">
        <v>45590</v>
      </c>
      <c r="I72" s="403">
        <f ca="1">IF(ISBLANK(H72), NETWORKDAYS(F72, TODAY(),fESTIVOS!$A$1:$A$18), NETWORKDAYS(F72, H72, fESTIVOS!$A$1:$A$18))</f>
        <v>2</v>
      </c>
      <c r="J72" s="458">
        <v>45590</v>
      </c>
      <c r="K72" s="458"/>
      <c r="L72" s="459" t="s">
        <v>1014</v>
      </c>
      <c r="M72" s="178"/>
      <c r="N72" s="178"/>
      <c r="O72" s="178"/>
      <c r="P72" s="178"/>
      <c r="Q72" s="178"/>
      <c r="R72" s="178"/>
      <c r="S72" s="178"/>
      <c r="T72" s="178"/>
      <c r="U72" s="178"/>
      <c r="V72" s="178"/>
      <c r="W72" s="178"/>
      <c r="X72" s="178"/>
      <c r="Y72" s="178"/>
      <c r="Z72" s="178"/>
      <c r="AA72" s="223"/>
      <c r="AB72" s="223"/>
      <c r="AC72" s="223"/>
      <c r="AD72" s="223"/>
      <c r="AE72" s="223"/>
      <c r="AF72" s="223"/>
      <c r="AG72" s="223"/>
    </row>
    <row r="73" spans="1:33" ht="15.75" customHeight="1">
      <c r="A73" s="177" t="s">
        <v>596</v>
      </c>
      <c r="B73" s="395" t="s">
        <v>608</v>
      </c>
      <c r="C73" s="485" t="s">
        <v>1015</v>
      </c>
      <c r="D73" s="410" t="s">
        <v>37</v>
      </c>
      <c r="E73" s="188">
        <v>45572</v>
      </c>
      <c r="F73" s="188">
        <v>45574</v>
      </c>
      <c r="G73" s="486"/>
      <c r="H73" s="188">
        <v>45574</v>
      </c>
      <c r="I73" s="190">
        <f ca="1">IF(ISBLANK(H73), NETWORKDAYS(F73, TODAY(),fESTIVOS!$A$1:$A$18), NETWORKDAYS(F73, H73, fESTIVOS!$A$1:$A$18))</f>
        <v>1</v>
      </c>
      <c r="J73" s="188"/>
      <c r="K73" s="188"/>
      <c r="L73" s="191" t="s">
        <v>1016</v>
      </c>
      <c r="M73" s="178"/>
      <c r="N73" s="178"/>
      <c r="O73" s="178"/>
      <c r="P73" s="178"/>
      <c r="Q73" s="178"/>
      <c r="R73" s="178"/>
      <c r="S73" s="178"/>
      <c r="T73" s="178"/>
      <c r="U73" s="178"/>
      <c r="V73" s="178"/>
      <c r="W73" s="178"/>
      <c r="X73" s="178"/>
      <c r="Y73" s="178"/>
      <c r="Z73" s="178"/>
    </row>
    <row r="74" spans="1:33" ht="15.75" customHeight="1">
      <c r="A74" s="439" t="s">
        <v>611</v>
      </c>
      <c r="B74" s="440" t="s">
        <v>936</v>
      </c>
      <c r="C74" s="219" t="s">
        <v>1017</v>
      </c>
      <c r="D74" s="195" t="s">
        <v>37</v>
      </c>
      <c r="E74" s="220">
        <v>45576</v>
      </c>
      <c r="F74" s="220">
        <v>45579</v>
      </c>
      <c r="G74" s="220"/>
      <c r="H74" s="220">
        <v>45590</v>
      </c>
      <c r="I74" s="198">
        <f ca="1">IF(ISBLANK(H74), NETWORKDAYS(F74, TODAY(),fESTIVOS!$A$1:$A$18), NETWORKDAYS(F74, H74, fESTIVOS!$A$1:$A$18))</f>
        <v>9</v>
      </c>
      <c r="J74" s="220">
        <v>45590</v>
      </c>
      <c r="K74" s="220"/>
      <c r="L74" s="443" t="s">
        <v>1018</v>
      </c>
      <c r="M74" s="178"/>
      <c r="N74" s="178"/>
      <c r="O74" s="178"/>
      <c r="P74" s="178"/>
      <c r="Q74" s="178"/>
      <c r="R74" s="178"/>
      <c r="S74" s="178"/>
      <c r="T74" s="178"/>
      <c r="U74" s="178"/>
      <c r="V74" s="178"/>
      <c r="W74" s="178"/>
      <c r="X74" s="178"/>
      <c r="Y74" s="178"/>
      <c r="Z74" s="178"/>
      <c r="AA74" s="223"/>
      <c r="AB74" s="223"/>
      <c r="AC74" s="223"/>
      <c r="AD74" s="223"/>
      <c r="AE74" s="223"/>
      <c r="AF74" s="223"/>
      <c r="AG74" s="223"/>
    </row>
    <row r="75" spans="1:33" ht="15.75" customHeight="1">
      <c r="A75" s="439" t="s">
        <v>611</v>
      </c>
      <c r="B75" s="440" t="s">
        <v>1006</v>
      </c>
      <c r="C75" s="219" t="s">
        <v>1019</v>
      </c>
      <c r="D75" s="442" t="s">
        <v>37</v>
      </c>
      <c r="E75" s="220">
        <v>45587</v>
      </c>
      <c r="F75" s="220">
        <v>45589</v>
      </c>
      <c r="G75" s="220"/>
      <c r="H75" s="220">
        <v>45593</v>
      </c>
      <c r="I75" s="198">
        <f ca="1">IF(ISBLANK(H75), NETWORKDAYS(F75, TODAY(),fESTIVOS!$A$1:$A$18), NETWORKDAYS(F75, H75, fESTIVOS!$A$1:$A$18))</f>
        <v>3</v>
      </c>
      <c r="J75" s="220">
        <v>45593</v>
      </c>
      <c r="K75" s="220"/>
      <c r="L75" s="443" t="s">
        <v>1020</v>
      </c>
      <c r="M75" s="178"/>
      <c r="N75" s="178"/>
      <c r="O75" s="178"/>
      <c r="P75" s="178"/>
      <c r="Q75" s="178"/>
      <c r="R75" s="178"/>
      <c r="S75" s="178"/>
      <c r="T75" s="178"/>
      <c r="U75" s="178"/>
      <c r="V75" s="178"/>
      <c r="W75" s="178"/>
      <c r="X75" s="178"/>
      <c r="Y75" s="178"/>
      <c r="Z75" s="178"/>
    </row>
    <row r="76" spans="1:33" ht="15.75" customHeight="1">
      <c r="A76" s="216" t="s">
        <v>621</v>
      </c>
      <c r="B76" s="441" t="s">
        <v>1006</v>
      </c>
      <c r="C76" s="195" t="s">
        <v>1021</v>
      </c>
      <c r="D76" s="195" t="s">
        <v>37</v>
      </c>
      <c r="E76" s="220">
        <v>45582</v>
      </c>
      <c r="F76" s="220">
        <v>45582</v>
      </c>
      <c r="G76" s="220"/>
      <c r="H76" s="220">
        <v>45582</v>
      </c>
      <c r="I76" s="198">
        <f ca="1">IF(ISBLANK(H76), NETWORKDAYS(F76, TODAY(),fESTIVOS!$A$1:$A$18), NETWORKDAYS(F76, H76, fESTIVOS!$A$1:$A$18))</f>
        <v>1</v>
      </c>
      <c r="J76" s="220">
        <v>45582</v>
      </c>
      <c r="K76" s="220"/>
      <c r="L76" s="443" t="s">
        <v>1022</v>
      </c>
      <c r="M76" s="413"/>
      <c r="N76" s="178"/>
      <c r="O76" s="178"/>
      <c r="P76" s="178"/>
      <c r="Q76" s="178"/>
      <c r="R76" s="178"/>
      <c r="S76" s="178"/>
      <c r="T76" s="178"/>
      <c r="U76" s="178"/>
      <c r="V76" s="178"/>
      <c r="W76" s="178"/>
      <c r="X76" s="178"/>
      <c r="Y76" s="178"/>
      <c r="Z76" s="178"/>
    </row>
    <row r="77" spans="1:33" ht="15.75" customHeight="1">
      <c r="A77" s="439" t="s">
        <v>611</v>
      </c>
      <c r="B77" s="440" t="s">
        <v>1023</v>
      </c>
      <c r="C77" s="219" t="s">
        <v>1024</v>
      </c>
      <c r="D77" s="195" t="s">
        <v>37</v>
      </c>
      <c r="E77" s="220">
        <v>45587</v>
      </c>
      <c r="F77" s="220">
        <v>45590</v>
      </c>
      <c r="G77" s="220"/>
      <c r="H77" s="220">
        <v>45593</v>
      </c>
      <c r="I77" s="198">
        <f ca="1">IF(ISBLANK(H77), NETWORKDAYS(F77, TODAY(),fESTIVOS!$A$1:$A$18), NETWORKDAYS(F77, H77, fESTIVOS!$A$1:$A$18))</f>
        <v>2</v>
      </c>
      <c r="J77" s="220"/>
      <c r="K77" s="220"/>
      <c r="L77" s="443"/>
      <c r="M77" s="178"/>
      <c r="N77" s="178"/>
      <c r="O77" s="178"/>
      <c r="P77" s="178"/>
      <c r="Q77" s="178"/>
      <c r="R77" s="178"/>
      <c r="S77" s="178"/>
      <c r="T77" s="178"/>
      <c r="U77" s="178"/>
      <c r="V77" s="178"/>
      <c r="W77" s="178"/>
      <c r="X77" s="178"/>
      <c r="Y77" s="178"/>
      <c r="Z77" s="178"/>
      <c r="AA77" s="223"/>
      <c r="AB77" s="223"/>
      <c r="AC77" s="223"/>
      <c r="AD77" s="223"/>
      <c r="AE77" s="223"/>
      <c r="AF77" s="223"/>
      <c r="AG77" s="223"/>
    </row>
    <row r="78" spans="1:33" ht="15.75" customHeight="1">
      <c r="A78" s="177" t="s">
        <v>596</v>
      </c>
      <c r="B78" s="406" t="s">
        <v>1025</v>
      </c>
      <c r="C78" s="396" t="s">
        <v>1026</v>
      </c>
      <c r="D78" s="189" t="s">
        <v>37</v>
      </c>
      <c r="E78" s="188">
        <v>45590</v>
      </c>
      <c r="F78" s="188">
        <v>45593</v>
      </c>
      <c r="G78" s="188"/>
      <c r="H78" s="188">
        <v>45593</v>
      </c>
      <c r="I78" s="190">
        <f ca="1">IF(ISBLANK(H78), NETWORKDAYS(F78, TODAY(),fESTIVOS!$A$1:$A$18), NETWORKDAYS(F78, H78, fESTIVOS!$A$1:$A$18))</f>
        <v>1</v>
      </c>
      <c r="J78" s="188"/>
      <c r="K78" s="188"/>
      <c r="L78" s="191"/>
      <c r="M78" s="178"/>
      <c r="N78" s="178"/>
      <c r="O78" s="178"/>
      <c r="P78" s="178"/>
      <c r="Q78" s="178"/>
      <c r="R78" s="178"/>
      <c r="S78" s="178"/>
      <c r="T78" s="178"/>
      <c r="U78" s="178"/>
      <c r="V78" s="178"/>
      <c r="W78" s="178"/>
      <c r="X78" s="178"/>
      <c r="Y78" s="178"/>
      <c r="Z78" s="178"/>
      <c r="AA78" s="223"/>
      <c r="AB78" s="223"/>
      <c r="AC78" s="223"/>
      <c r="AD78" s="223"/>
      <c r="AE78" s="223"/>
      <c r="AF78" s="223"/>
      <c r="AG78" s="223"/>
    </row>
    <row r="79" spans="1:33" ht="15.75" customHeight="1">
      <c r="A79" s="412" t="s">
        <v>869</v>
      </c>
      <c r="B79" s="186" t="s">
        <v>889</v>
      </c>
      <c r="C79" s="410" t="s">
        <v>1027</v>
      </c>
      <c r="D79" s="410" t="s">
        <v>37</v>
      </c>
      <c r="E79" s="188">
        <v>45589</v>
      </c>
      <c r="F79" s="188">
        <v>45593</v>
      </c>
      <c r="G79" s="188"/>
      <c r="H79" s="188">
        <v>45593</v>
      </c>
      <c r="I79" s="190">
        <f ca="1">IF(ISBLANK(H79), NETWORKDAYS(F79, TODAY(),fESTIVOS!$A$1:$A$18), NETWORKDAYS(F79, H79, fESTIVOS!$A$1:$A$18))</f>
        <v>1</v>
      </c>
      <c r="J79" s="188">
        <v>45593</v>
      </c>
      <c r="K79" s="188"/>
      <c r="L79" s="191" t="s">
        <v>1028</v>
      </c>
      <c r="M79" s="413"/>
      <c r="N79" s="178"/>
      <c r="O79" s="178"/>
      <c r="P79" s="178"/>
      <c r="Q79" s="178"/>
      <c r="R79" s="178"/>
      <c r="S79" s="178"/>
      <c r="T79" s="178"/>
      <c r="U79" s="178"/>
      <c r="V79" s="178"/>
      <c r="W79" s="178"/>
      <c r="X79" s="178"/>
      <c r="Y79" s="178"/>
      <c r="Z79" s="178"/>
      <c r="AA79" s="223"/>
      <c r="AB79" s="223"/>
      <c r="AC79" s="223"/>
      <c r="AD79" s="223"/>
      <c r="AE79" s="223"/>
      <c r="AF79" s="223"/>
      <c r="AG79" s="223"/>
    </row>
    <row r="80" spans="1:33" ht="15.75" customHeight="1">
      <c r="A80" s="177" t="s">
        <v>596</v>
      </c>
      <c r="B80" s="186" t="s">
        <v>600</v>
      </c>
      <c r="C80" s="396" t="s">
        <v>1029</v>
      </c>
      <c r="D80" s="189" t="s">
        <v>37</v>
      </c>
      <c r="E80" s="188">
        <v>45594</v>
      </c>
      <c r="F80" s="188">
        <v>45594</v>
      </c>
      <c r="G80" s="188">
        <v>45596</v>
      </c>
      <c r="H80" s="189"/>
      <c r="I80" s="190">
        <f ca="1">IF(ISBLANK(H80), NETWORKDAYS(F80, TODAY(),fESTIVOS!$A$1:$A$18), NETWORKDAYS(F80, H80, fESTIVOS!$A$1:$A$18))</f>
        <v>355</v>
      </c>
      <c r="J80" s="188">
        <v>45596</v>
      </c>
      <c r="K80" s="188"/>
      <c r="L80" s="191" t="s">
        <v>1030</v>
      </c>
      <c r="M80" s="178"/>
      <c r="N80" s="178"/>
      <c r="O80" s="178"/>
      <c r="P80" s="178"/>
      <c r="Q80" s="178"/>
      <c r="R80" s="178"/>
      <c r="S80" s="178"/>
      <c r="T80" s="178"/>
      <c r="U80" s="178"/>
      <c r="V80" s="178"/>
      <c r="W80" s="178"/>
      <c r="X80" s="178"/>
      <c r="Y80" s="178"/>
      <c r="Z80" s="178"/>
      <c r="AA80" s="223"/>
      <c r="AB80" s="223"/>
      <c r="AC80" s="223"/>
      <c r="AD80" s="223"/>
      <c r="AE80" s="223"/>
      <c r="AF80" s="223"/>
      <c r="AG80" s="223"/>
    </row>
    <row r="81" spans="1:33" ht="15.75" customHeight="1">
      <c r="A81" s="415" t="s">
        <v>869</v>
      </c>
      <c r="B81" s="395" t="s">
        <v>999</v>
      </c>
      <c r="C81" s="487" t="s">
        <v>1031</v>
      </c>
      <c r="D81" s="488" t="s">
        <v>37</v>
      </c>
      <c r="E81" s="489">
        <v>45601</v>
      </c>
      <c r="F81" s="489">
        <v>45601</v>
      </c>
      <c r="G81" s="421"/>
      <c r="H81" s="421">
        <v>45602</v>
      </c>
      <c r="I81" s="422">
        <f ca="1">IF(ISBLANK(H81), NETWORKDAYS(F81, TODAY(),fESTIVOS!$A$1:$A$18), NETWORKDAYS(F81, H81, fESTIVOS!$A$1:$A$18))</f>
        <v>2</v>
      </c>
      <c r="J81" s="181"/>
      <c r="K81" s="181"/>
      <c r="L81" s="449"/>
      <c r="M81" s="448"/>
      <c r="N81" s="184"/>
      <c r="O81" s="184"/>
      <c r="P81" s="184"/>
      <c r="Q81" s="184"/>
      <c r="R81" s="184"/>
      <c r="S81" s="184"/>
      <c r="T81" s="184"/>
      <c r="U81" s="184"/>
      <c r="V81" s="184"/>
      <c r="W81" s="184"/>
      <c r="X81" s="184"/>
      <c r="Y81" s="184"/>
      <c r="Z81" s="184"/>
      <c r="AA81" s="223"/>
      <c r="AB81" s="223"/>
      <c r="AC81" s="223"/>
      <c r="AD81" s="223"/>
      <c r="AE81" s="223"/>
      <c r="AF81" s="223"/>
      <c r="AG81" s="223"/>
    </row>
    <row r="82" spans="1:33" ht="15.75" customHeight="1">
      <c r="A82" s="216" t="s">
        <v>621</v>
      </c>
      <c r="B82" s="406" t="s">
        <v>1032</v>
      </c>
      <c r="C82" s="490" t="s">
        <v>1033</v>
      </c>
      <c r="D82" s="410" t="s">
        <v>37</v>
      </c>
      <c r="E82" s="188">
        <v>45602</v>
      </c>
      <c r="F82" s="188">
        <v>45602</v>
      </c>
      <c r="G82" s="188"/>
      <c r="H82" s="188">
        <v>45603</v>
      </c>
      <c r="I82" s="198">
        <f ca="1">IF(ISBLANK(H82), NETWORKDAYS(F82, TODAY(),fESTIVOS!$A$1:$A$18), NETWORKDAYS(F82, H82, fESTIVOS!$A$1:$A$18))</f>
        <v>2</v>
      </c>
      <c r="J82" s="188">
        <v>45603</v>
      </c>
      <c r="K82" s="188">
        <v>45603</v>
      </c>
      <c r="L82" s="191" t="s">
        <v>1034</v>
      </c>
      <c r="M82" s="178"/>
      <c r="N82" s="178"/>
      <c r="O82" s="178"/>
      <c r="P82" s="178"/>
      <c r="Q82" s="178"/>
      <c r="R82" s="178"/>
      <c r="S82" s="178"/>
      <c r="T82" s="178"/>
      <c r="U82" s="178"/>
      <c r="V82" s="178"/>
      <c r="W82" s="178"/>
      <c r="X82" s="178"/>
      <c r="Y82" s="178"/>
      <c r="Z82" s="178"/>
      <c r="AA82" s="223"/>
      <c r="AB82" s="223"/>
      <c r="AC82" s="223"/>
      <c r="AD82" s="223"/>
      <c r="AE82" s="223"/>
      <c r="AF82" s="223"/>
      <c r="AG82" s="223"/>
    </row>
    <row r="83" spans="1:33" ht="15.75" customHeight="1">
      <c r="A83" s="491" t="s">
        <v>889</v>
      </c>
      <c r="B83" s="491" t="s">
        <v>889</v>
      </c>
      <c r="C83" s="185" t="s">
        <v>1035</v>
      </c>
      <c r="D83" s="189" t="s">
        <v>37</v>
      </c>
      <c r="E83" s="188">
        <v>45576</v>
      </c>
      <c r="F83" s="188">
        <v>45576</v>
      </c>
      <c r="G83" s="185"/>
      <c r="H83" s="460">
        <v>45604</v>
      </c>
      <c r="I83" s="190">
        <f ca="1">IF(ISBLANK(H83), NETWORKDAYS(F83, TODAY(),fESTIVOS!$A$1:$A$18), NETWORKDAYS(F83, H83, fESTIVOS!$A$1:$A$18))</f>
        <v>19</v>
      </c>
      <c r="J83" s="185"/>
      <c r="K83" s="185"/>
      <c r="L83" s="185" t="s">
        <v>1036</v>
      </c>
      <c r="M83" s="199"/>
      <c r="N83" s="199"/>
      <c r="O83" s="199"/>
      <c r="P83" s="199"/>
      <c r="Q83" s="199"/>
      <c r="R83" s="199"/>
      <c r="S83" s="199"/>
      <c r="T83" s="199"/>
      <c r="U83" s="199"/>
      <c r="V83" s="199"/>
      <c r="W83" s="199"/>
      <c r="X83" s="199"/>
      <c r="Y83" s="199"/>
      <c r="Z83" s="199"/>
    </row>
    <row r="84" spans="1:33" ht="15.75" customHeight="1">
      <c r="A84" s="439" t="s">
        <v>611</v>
      </c>
      <c r="B84" s="416" t="s">
        <v>1037</v>
      </c>
      <c r="C84" s="415" t="s">
        <v>1038</v>
      </c>
      <c r="D84" s="416" t="s">
        <v>37</v>
      </c>
      <c r="E84" s="492">
        <v>45602</v>
      </c>
      <c r="F84" s="492">
        <v>45602</v>
      </c>
      <c r="G84" s="493">
        <v>45603</v>
      </c>
      <c r="H84" s="492">
        <v>45603</v>
      </c>
      <c r="I84" s="198">
        <f ca="1">IF(ISBLANK(H84), NETWORKDAYS(F84, TODAY(),fESTIVOS!$A$1:$A$18), NETWORKDAYS(F84, H84, fESTIVOS!$A$1:$A$18))</f>
        <v>2</v>
      </c>
      <c r="J84" s="416"/>
      <c r="K84" s="416"/>
      <c r="L84" s="494"/>
      <c r="M84" s="413"/>
      <c r="N84" s="178"/>
      <c r="O84" s="178"/>
      <c r="P84" s="178"/>
      <c r="Q84" s="178"/>
      <c r="R84" s="178"/>
      <c r="S84" s="178"/>
      <c r="T84" s="178"/>
      <c r="U84" s="178"/>
      <c r="V84" s="178"/>
      <c r="W84" s="178"/>
      <c r="X84" s="178"/>
      <c r="Y84" s="178"/>
      <c r="Z84" s="178"/>
      <c r="AA84" s="223"/>
      <c r="AB84" s="223"/>
      <c r="AC84" s="223"/>
      <c r="AD84" s="223"/>
      <c r="AE84" s="223"/>
      <c r="AF84" s="223"/>
      <c r="AG84" s="223"/>
    </row>
    <row r="85" spans="1:33" ht="15.75" customHeight="1">
      <c r="A85" s="439" t="s">
        <v>611</v>
      </c>
      <c r="B85" s="217" t="s">
        <v>1006</v>
      </c>
      <c r="C85" s="195" t="s">
        <v>1039</v>
      </c>
      <c r="D85" s="442" t="s">
        <v>45</v>
      </c>
      <c r="E85" s="220">
        <v>45587</v>
      </c>
      <c r="F85" s="220">
        <v>45587</v>
      </c>
      <c r="G85" s="220"/>
      <c r="H85" s="220">
        <v>45603</v>
      </c>
      <c r="I85" s="198">
        <f ca="1">IF(ISBLANK(H85), NETWORKDAYS(F85, TODAY(),fESTIVOS!$A$1:$A$18), NETWORKDAYS(F85, H85, fESTIVOS!$A$1:$A$18))</f>
        <v>12</v>
      </c>
      <c r="J85" s="220"/>
      <c r="K85" s="220"/>
      <c r="L85" s="443" t="s">
        <v>1040</v>
      </c>
      <c r="M85" s="178"/>
      <c r="N85" s="178"/>
      <c r="O85" s="178"/>
      <c r="P85" s="178"/>
      <c r="Q85" s="178"/>
      <c r="R85" s="178"/>
      <c r="S85" s="178"/>
      <c r="T85" s="178"/>
      <c r="U85" s="178"/>
      <c r="V85" s="178"/>
      <c r="W85" s="178"/>
      <c r="X85" s="178"/>
      <c r="Y85" s="178"/>
      <c r="Z85" s="178"/>
      <c r="AA85" s="223"/>
      <c r="AB85" s="223"/>
      <c r="AC85" s="223"/>
      <c r="AD85" s="223"/>
      <c r="AE85" s="223"/>
      <c r="AF85" s="223"/>
      <c r="AG85" s="223"/>
    </row>
    <row r="86" spans="1:33" ht="15.75" customHeight="1">
      <c r="A86" s="495" t="s">
        <v>603</v>
      </c>
      <c r="B86" s="496" t="s">
        <v>1041</v>
      </c>
      <c r="C86" s="497" t="s">
        <v>1042</v>
      </c>
      <c r="D86" s="472" t="s">
        <v>989</v>
      </c>
      <c r="E86" s="498">
        <v>45569</v>
      </c>
      <c r="F86" s="498">
        <v>45572</v>
      </c>
      <c r="G86" s="498">
        <v>0</v>
      </c>
      <c r="H86" s="498">
        <v>45581</v>
      </c>
      <c r="I86" s="499">
        <f ca="1">IF(ISBLANK(H86), NETWORKDAYS(F86, TODAY(),fESTIVOS!$A$1:$A$18), NETWORKDAYS(F86, H86, fESTIVOS!$A$1:$A$18))</f>
        <v>7</v>
      </c>
      <c r="J86" s="498">
        <v>45587</v>
      </c>
      <c r="K86" s="498">
        <v>45609</v>
      </c>
      <c r="L86" s="500" t="s">
        <v>1043</v>
      </c>
      <c r="M86" s="178"/>
      <c r="N86" s="178"/>
      <c r="O86" s="178"/>
      <c r="P86" s="178"/>
      <c r="Q86" s="178"/>
      <c r="R86" s="178"/>
      <c r="S86" s="178"/>
      <c r="T86" s="178"/>
      <c r="U86" s="178"/>
      <c r="V86" s="178"/>
      <c r="W86" s="178"/>
      <c r="X86" s="178"/>
      <c r="Y86" s="178"/>
      <c r="Z86" s="178"/>
    </row>
    <row r="87" spans="1:33" ht="15.75" customHeight="1">
      <c r="A87" s="201" t="s">
        <v>611</v>
      </c>
      <c r="B87" s="201" t="s">
        <v>1044</v>
      </c>
      <c r="C87" s="216"/>
      <c r="D87" s="216" t="s">
        <v>37</v>
      </c>
      <c r="E87" s="202">
        <v>45596</v>
      </c>
      <c r="F87" s="202">
        <v>45596</v>
      </c>
      <c r="G87" s="201"/>
      <c r="H87" s="202">
        <v>45608</v>
      </c>
      <c r="I87" s="198">
        <f ca="1">IF(ISBLANK(H87), NETWORKDAYS(F87, TODAY(),fESTIVOS!$A$1:$A$18), NETWORKDAYS(F87, H87, fESTIVOS!$A$1:$A$18))</f>
        <v>7</v>
      </c>
      <c r="J87" s="216"/>
      <c r="K87" s="216"/>
      <c r="L87" s="501" t="s">
        <v>1045</v>
      </c>
      <c r="M87" s="413"/>
      <c r="N87" s="178"/>
      <c r="O87" s="178"/>
      <c r="P87" s="178"/>
      <c r="Q87" s="178"/>
      <c r="R87" s="178"/>
      <c r="S87" s="178"/>
      <c r="T87" s="178"/>
      <c r="U87" s="178"/>
      <c r="V87" s="178"/>
      <c r="W87" s="178"/>
      <c r="X87" s="178"/>
      <c r="Y87" s="178"/>
      <c r="Z87" s="178"/>
      <c r="AA87" s="223"/>
      <c r="AB87" s="223"/>
      <c r="AC87" s="223"/>
      <c r="AD87" s="223"/>
      <c r="AE87" s="223"/>
      <c r="AF87" s="223"/>
      <c r="AG87" s="223"/>
    </row>
    <row r="88" spans="1:33" ht="15.75" customHeight="1">
      <c r="A88" s="439" t="s">
        <v>611</v>
      </c>
      <c r="B88" s="495" t="s">
        <v>1046</v>
      </c>
      <c r="C88" s="502" t="s">
        <v>1047</v>
      </c>
      <c r="D88" s="495" t="s">
        <v>37</v>
      </c>
      <c r="E88" s="503">
        <v>45601</v>
      </c>
      <c r="F88" s="503">
        <v>45601</v>
      </c>
      <c r="G88" s="217"/>
      <c r="H88" s="503">
        <v>45608</v>
      </c>
      <c r="I88" s="198">
        <f ca="1">IF(ISBLANK(H88), NETWORKDAYS(F88, TODAY(),fESTIVOS!$A$1:$A$18), NETWORKDAYS(F88, H88, fESTIVOS!$A$1:$A$18))</f>
        <v>5</v>
      </c>
      <c r="J88" s="495"/>
      <c r="K88" s="495"/>
      <c r="L88" s="504" t="s">
        <v>1048</v>
      </c>
      <c r="M88" s="413"/>
      <c r="N88" s="178"/>
      <c r="O88" s="178"/>
      <c r="P88" s="178"/>
      <c r="Q88" s="178"/>
      <c r="R88" s="178"/>
      <c r="S88" s="178"/>
      <c r="T88" s="178"/>
      <c r="U88" s="178"/>
      <c r="V88" s="178"/>
      <c r="W88" s="178"/>
      <c r="X88" s="178"/>
      <c r="Y88" s="178"/>
      <c r="Z88" s="178"/>
      <c r="AA88" s="223"/>
      <c r="AB88" s="223"/>
      <c r="AC88" s="223"/>
      <c r="AD88" s="223"/>
      <c r="AE88" s="223"/>
      <c r="AF88" s="223"/>
      <c r="AG88" s="223"/>
    </row>
    <row r="89" spans="1:33" ht="15" customHeight="1">
      <c r="A89" s="412" t="s">
        <v>869</v>
      </c>
      <c r="B89" s="187" t="s">
        <v>1049</v>
      </c>
      <c r="C89" s="187" t="s">
        <v>1050</v>
      </c>
      <c r="D89" s="410" t="s">
        <v>37</v>
      </c>
      <c r="E89" s="188">
        <v>45608</v>
      </c>
      <c r="F89" s="188">
        <v>45608</v>
      </c>
      <c r="G89" s="188"/>
      <c r="H89" s="188">
        <v>45609</v>
      </c>
      <c r="I89" s="190">
        <f ca="1">IF(ISBLANK(H89), NETWORKDAYS(F89, TODAY(),fESTIVOS!$A$1:$A$18), NETWORKDAYS(F89, H89, fESTIVOS!$A$1:$A$18))</f>
        <v>2</v>
      </c>
      <c r="J89" s="188"/>
      <c r="K89" s="188">
        <v>45609</v>
      </c>
      <c r="L89" s="191"/>
    </row>
    <row r="90" spans="1:33" ht="15.75" customHeight="1">
      <c r="A90" s="412" t="s">
        <v>869</v>
      </c>
      <c r="B90" s="395" t="s">
        <v>999</v>
      </c>
      <c r="C90" s="226" t="s">
        <v>1051</v>
      </c>
      <c r="D90" s="189" t="s">
        <v>37</v>
      </c>
      <c r="E90" s="188">
        <v>45602</v>
      </c>
      <c r="F90" s="505">
        <v>45602</v>
      </c>
      <c r="G90" s="506"/>
      <c r="H90" s="507">
        <v>45603</v>
      </c>
      <c r="I90" s="190">
        <f ca="1">IF(ISBLANK(H90), NETWORKDAYS(F90, TODAY(),fESTIVOS!$A$1:$A$18), NETWORKDAYS(F90, H90, fESTIVOS!$A$1:$A$18))</f>
        <v>2</v>
      </c>
      <c r="J90" s="506"/>
      <c r="K90" s="506"/>
      <c r="L90" s="408" t="s">
        <v>1052</v>
      </c>
    </row>
    <row r="91" spans="1:33" ht="15.75" customHeight="1">
      <c r="A91" s="177" t="s">
        <v>596</v>
      </c>
      <c r="B91" s="508" t="s">
        <v>1053</v>
      </c>
      <c r="C91" s="396"/>
      <c r="D91" s="410" t="s">
        <v>989</v>
      </c>
      <c r="E91" s="188">
        <v>45336</v>
      </c>
      <c r="F91" s="188">
        <v>45336</v>
      </c>
      <c r="G91" s="188"/>
      <c r="H91" s="188">
        <v>45470</v>
      </c>
      <c r="I91" s="190">
        <f ca="1">IF(ISBLANK(H91), NETWORKDAYS(F91, TODAY(),fESTIVOS!$A$1:$A$18), NETWORKDAYS(F91, H91, fESTIVOS!$A$1:$A$18))</f>
        <v>90</v>
      </c>
      <c r="J91" s="188">
        <v>45470</v>
      </c>
      <c r="K91" s="188">
        <v>45610</v>
      </c>
      <c r="L91" s="411" t="s">
        <v>1054</v>
      </c>
      <c r="M91" s="178"/>
      <c r="N91" s="178"/>
      <c r="O91" s="178"/>
      <c r="P91" s="178"/>
      <c r="Q91" s="178"/>
      <c r="R91" s="178"/>
      <c r="S91" s="178"/>
      <c r="T91" s="178"/>
      <c r="U91" s="178"/>
      <c r="V91" s="178"/>
      <c r="W91" s="178"/>
      <c r="X91" s="178"/>
      <c r="Y91" s="178"/>
      <c r="Z91" s="178"/>
    </row>
    <row r="92" spans="1:33" ht="15.75" customHeight="1">
      <c r="A92" s="201" t="s">
        <v>611</v>
      </c>
      <c r="B92" s="444" t="s">
        <v>1055</v>
      </c>
      <c r="C92" s="441" t="s">
        <v>1056</v>
      </c>
      <c r="D92" s="195" t="s">
        <v>992</v>
      </c>
      <c r="E92" s="220">
        <v>45545</v>
      </c>
      <c r="F92" s="220">
        <v>45546</v>
      </c>
      <c r="G92" s="220"/>
      <c r="H92" s="220">
        <v>45609</v>
      </c>
      <c r="I92" s="198">
        <f ca="1">IF(ISBLANK(H92), NETWORKDAYS(F92, TODAY(),fESTIVOS!$A$1:$A$18), NETWORKDAYS(F92, H92, fESTIVOS!$A$1:$A$18))</f>
        <v>43</v>
      </c>
      <c r="J92" s="220">
        <v>45609</v>
      </c>
      <c r="K92" s="220">
        <v>45610</v>
      </c>
      <c r="L92" s="443" t="s">
        <v>1057</v>
      </c>
      <c r="M92" s="178"/>
      <c r="N92" s="178"/>
      <c r="O92" s="178"/>
      <c r="P92" s="178"/>
      <c r="Q92" s="178"/>
      <c r="R92" s="178"/>
      <c r="S92" s="178"/>
      <c r="T92" s="178"/>
      <c r="U92" s="178"/>
      <c r="V92" s="178"/>
      <c r="W92" s="178"/>
      <c r="X92" s="178"/>
      <c r="Y92" s="178"/>
      <c r="Z92" s="178"/>
    </row>
    <row r="93" spans="1:33" ht="15.75" customHeight="1">
      <c r="A93" s="412" t="s">
        <v>869</v>
      </c>
      <c r="B93" s="187" t="s">
        <v>1049</v>
      </c>
      <c r="C93" s="187" t="s">
        <v>1058</v>
      </c>
      <c r="D93" s="410" t="s">
        <v>992</v>
      </c>
      <c r="E93" s="188">
        <v>45610</v>
      </c>
      <c r="F93" s="188">
        <v>45610</v>
      </c>
      <c r="G93" s="188"/>
      <c r="H93" s="189"/>
      <c r="I93" s="422">
        <f ca="1">IF(ISBLANK(H93), NETWORKDAYS(F93, TODAY(),fESTIVOS!$A$1:$A$18), NETWORKDAYS(F93, H93, fESTIVOS!$A$1:$A$18))</f>
        <v>345</v>
      </c>
      <c r="J93" s="188"/>
      <c r="K93" s="188">
        <v>45611</v>
      </c>
      <c r="L93" s="191" t="s">
        <v>1059</v>
      </c>
      <c r="M93" s="413"/>
      <c r="N93" s="178"/>
      <c r="O93" s="178"/>
      <c r="P93" s="178"/>
      <c r="Q93" s="178"/>
      <c r="R93" s="178"/>
      <c r="S93" s="178"/>
      <c r="T93" s="178"/>
      <c r="U93" s="178"/>
      <c r="V93" s="178"/>
      <c r="W93" s="178"/>
      <c r="X93" s="178"/>
      <c r="Y93" s="178"/>
      <c r="Z93" s="178"/>
      <c r="AA93" s="223"/>
      <c r="AB93" s="223"/>
      <c r="AC93" s="223"/>
      <c r="AD93" s="223"/>
      <c r="AE93" s="223"/>
      <c r="AF93" s="223"/>
      <c r="AG93" s="223"/>
    </row>
    <row r="94" spans="1:33" ht="15.75" customHeight="1">
      <c r="A94" s="201" t="s">
        <v>611</v>
      </c>
      <c r="B94" s="509" t="s">
        <v>1060</v>
      </c>
      <c r="C94" s="210"/>
      <c r="D94" s="210" t="s">
        <v>37</v>
      </c>
      <c r="E94" s="510">
        <v>45615</v>
      </c>
      <c r="F94" s="510">
        <v>45615</v>
      </c>
      <c r="G94" s="509"/>
      <c r="H94" s="510">
        <v>45615</v>
      </c>
      <c r="I94" s="198">
        <f ca="1">IF(ISBLANK(H94), NETWORKDAYS(F94, TODAY(),fESTIVOS!$A$1:$A$18), NETWORKDAYS(F94, H94, fESTIVOS!$A$1:$A$18))</f>
        <v>1</v>
      </c>
      <c r="J94" s="210"/>
      <c r="K94" s="210"/>
      <c r="L94" s="511" t="s">
        <v>1061</v>
      </c>
      <c r="M94" s="512"/>
      <c r="N94" s="513"/>
      <c r="O94" s="513"/>
      <c r="P94" s="513"/>
      <c r="Q94" s="513"/>
      <c r="R94" s="513"/>
      <c r="S94" s="513"/>
      <c r="T94" s="513"/>
      <c r="U94" s="513"/>
      <c r="V94" s="513"/>
      <c r="W94" s="513"/>
      <c r="X94" s="513"/>
      <c r="Y94" s="513"/>
      <c r="Z94" s="513"/>
      <c r="AA94" s="514"/>
      <c r="AB94" s="514"/>
      <c r="AC94" s="514"/>
      <c r="AD94" s="514"/>
      <c r="AE94" s="514"/>
      <c r="AF94" s="514"/>
      <c r="AG94" s="514"/>
    </row>
    <row r="95" spans="1:33" ht="15.75" customHeight="1">
      <c r="A95" s="412" t="s">
        <v>869</v>
      </c>
      <c r="B95" s="187" t="s">
        <v>1049</v>
      </c>
      <c r="C95" s="226" t="s">
        <v>1062</v>
      </c>
      <c r="D95" s="410" t="s">
        <v>37</v>
      </c>
      <c r="E95" s="188">
        <v>45610</v>
      </c>
      <c r="F95" s="188">
        <v>45610</v>
      </c>
      <c r="G95" s="188"/>
      <c r="H95" s="188">
        <v>45610</v>
      </c>
      <c r="I95" s="422">
        <f ca="1">IF(ISBLANK(H95), NETWORKDAYS(F95, TODAY(),fESTIVOS!$A$1:$A$18), NETWORKDAYS(F95, H95, fESTIVOS!$A$1:$A$18))</f>
        <v>1</v>
      </c>
      <c r="J95" s="188"/>
      <c r="K95" s="188"/>
      <c r="L95" s="191"/>
      <c r="M95" s="413"/>
      <c r="N95" s="178"/>
      <c r="O95" s="178"/>
      <c r="P95" s="178"/>
      <c r="Q95" s="178"/>
      <c r="R95" s="178"/>
      <c r="S95" s="178"/>
      <c r="T95" s="178"/>
      <c r="U95" s="178"/>
      <c r="V95" s="178"/>
      <c r="W95" s="178"/>
      <c r="X95" s="178"/>
      <c r="Y95" s="178"/>
      <c r="Z95" s="178"/>
      <c r="AA95" s="223"/>
      <c r="AB95" s="223"/>
      <c r="AC95" s="223"/>
      <c r="AD95" s="223"/>
      <c r="AE95" s="223"/>
      <c r="AF95" s="223"/>
      <c r="AG95" s="223"/>
    </row>
    <row r="96" spans="1:33" ht="15.75" customHeight="1">
      <c r="A96" s="412" t="s">
        <v>869</v>
      </c>
      <c r="B96" s="187" t="s">
        <v>1049</v>
      </c>
      <c r="C96" s="187" t="s">
        <v>1063</v>
      </c>
      <c r="D96" s="410" t="s">
        <v>37</v>
      </c>
      <c r="E96" s="188">
        <v>45609</v>
      </c>
      <c r="F96" s="188">
        <v>45609</v>
      </c>
      <c r="G96" s="188"/>
      <c r="H96" s="188">
        <v>45610</v>
      </c>
      <c r="I96" s="190">
        <f ca="1">IF(ISBLANK(H96), NETWORKDAYS(F96, TODAY(),fESTIVOS!$A$1:$A$18), NETWORKDAYS(F96, H96, fESTIVOS!$A$1:$A$18))</f>
        <v>2</v>
      </c>
      <c r="J96" s="188"/>
      <c r="K96" s="188"/>
      <c r="L96" s="191" t="s">
        <v>1064</v>
      </c>
      <c r="M96" s="413"/>
      <c r="N96" s="178"/>
      <c r="O96" s="178"/>
      <c r="P96" s="178"/>
      <c r="Q96" s="178"/>
      <c r="R96" s="178"/>
      <c r="S96" s="178"/>
      <c r="T96" s="178"/>
      <c r="U96" s="178"/>
      <c r="V96" s="178"/>
      <c r="W96" s="178"/>
      <c r="X96" s="178"/>
      <c r="Y96" s="178"/>
      <c r="Z96" s="178"/>
      <c r="AA96" s="223"/>
      <c r="AB96" s="223"/>
      <c r="AC96" s="223"/>
      <c r="AD96" s="223"/>
      <c r="AE96" s="223"/>
      <c r="AF96" s="223"/>
      <c r="AG96" s="223"/>
    </row>
    <row r="97" spans="1:33" ht="15.75" customHeight="1">
      <c r="A97" s="412" t="s">
        <v>869</v>
      </c>
      <c r="B97" s="412" t="s">
        <v>1065</v>
      </c>
      <c r="C97" s="187"/>
      <c r="D97" s="410" t="s">
        <v>37</v>
      </c>
      <c r="E97" s="188">
        <v>45615</v>
      </c>
      <c r="F97" s="188">
        <v>45615</v>
      </c>
      <c r="G97" s="188"/>
      <c r="H97" s="188">
        <v>45615</v>
      </c>
      <c r="I97" s="190">
        <f ca="1">IF(ISBLANK(H97), NETWORKDAYS(F97, TODAY(),fESTIVOS!$A$1:$A$18), NETWORKDAYS(F97, H97, fESTIVOS!$A$1:$A$18))</f>
        <v>1</v>
      </c>
      <c r="J97" s="188"/>
      <c r="K97" s="188"/>
      <c r="L97" s="191" t="s">
        <v>1066</v>
      </c>
      <c r="M97" s="413"/>
      <c r="N97" s="178"/>
      <c r="O97" s="178"/>
      <c r="P97" s="178"/>
      <c r="Q97" s="178"/>
      <c r="R97" s="178"/>
      <c r="S97" s="178"/>
      <c r="T97" s="178"/>
      <c r="U97" s="178"/>
      <c r="V97" s="178"/>
      <c r="W97" s="178"/>
      <c r="X97" s="178"/>
      <c r="Y97" s="178"/>
      <c r="Z97" s="178"/>
      <c r="AA97" s="223"/>
      <c r="AB97" s="223"/>
      <c r="AC97" s="223"/>
      <c r="AD97" s="223"/>
      <c r="AE97" s="223"/>
      <c r="AF97" s="223"/>
      <c r="AG97" s="223"/>
    </row>
    <row r="98" spans="1:33" ht="15.75" customHeight="1">
      <c r="A98" s="201" t="s">
        <v>611</v>
      </c>
      <c r="B98" s="216" t="s">
        <v>1049</v>
      </c>
      <c r="C98" s="444" t="s">
        <v>1067</v>
      </c>
      <c r="D98" s="216" t="s">
        <v>37</v>
      </c>
      <c r="E98" s="202">
        <v>45610</v>
      </c>
      <c r="F98" s="202">
        <v>45610</v>
      </c>
      <c r="G98" s="201"/>
      <c r="H98" s="202">
        <v>45610</v>
      </c>
      <c r="I98" s="198">
        <f ca="1">IF(ISBLANK(H98), NETWORKDAYS(F98, TODAY(),fESTIVOS!$A$1:$A$18), NETWORKDAYS(F98, H98, fESTIVOS!$A$1:$A$18))</f>
        <v>1</v>
      </c>
      <c r="J98" s="216"/>
      <c r="K98" s="216"/>
      <c r="L98" s="501" t="s">
        <v>1068</v>
      </c>
      <c r="M98" s="413"/>
      <c r="N98" s="178"/>
      <c r="O98" s="178"/>
      <c r="P98" s="178"/>
      <c r="Q98" s="178"/>
      <c r="R98" s="178"/>
      <c r="S98" s="178"/>
      <c r="T98" s="178"/>
      <c r="U98" s="178"/>
      <c r="V98" s="178"/>
      <c r="W98" s="178"/>
      <c r="X98" s="178"/>
      <c r="Y98" s="178"/>
      <c r="Z98" s="178"/>
    </row>
    <row r="99" spans="1:33" ht="15.75" customHeight="1">
      <c r="A99" s="201" t="s">
        <v>611</v>
      </c>
      <c r="B99" s="495" t="s">
        <v>1069</v>
      </c>
      <c r="C99" s="472" t="s">
        <v>1070</v>
      </c>
      <c r="D99" s="216" t="s">
        <v>37</v>
      </c>
      <c r="E99" s="202">
        <v>45614</v>
      </c>
      <c r="F99" s="202">
        <v>45614</v>
      </c>
      <c r="G99" s="201"/>
      <c r="H99" s="202">
        <v>45618</v>
      </c>
      <c r="I99" s="198">
        <f ca="1">IF(ISBLANK(H99), NETWORKDAYS(F99, TODAY(),fESTIVOS!$A$1:$A$18), NETWORKDAYS(F99, H99, fESTIVOS!$A$1:$A$18))</f>
        <v>5</v>
      </c>
      <c r="J99" s="216"/>
      <c r="K99" s="216"/>
      <c r="L99" s="501" t="s">
        <v>1071</v>
      </c>
      <c r="M99" s="413"/>
      <c r="N99" s="178"/>
      <c r="O99" s="178"/>
      <c r="P99" s="178"/>
      <c r="Q99" s="178"/>
      <c r="R99" s="178"/>
      <c r="S99" s="178"/>
      <c r="T99" s="178"/>
      <c r="U99" s="178"/>
      <c r="V99" s="178"/>
      <c r="W99" s="178"/>
      <c r="X99" s="178"/>
      <c r="Y99" s="178"/>
      <c r="Z99" s="178"/>
    </row>
    <row r="100" spans="1:33" ht="15.75" customHeight="1">
      <c r="A100" s="515" t="s">
        <v>596</v>
      </c>
      <c r="B100" s="415" t="s">
        <v>1072</v>
      </c>
      <c r="C100" s="177"/>
      <c r="D100" s="410" t="s">
        <v>989</v>
      </c>
      <c r="E100" s="188">
        <v>45621</v>
      </c>
      <c r="F100" s="188">
        <v>45621</v>
      </c>
      <c r="G100" s="516"/>
      <c r="H100" s="188">
        <v>45621</v>
      </c>
      <c r="I100" s="517">
        <f ca="1">IF(ISBLANK(H100), NETWORKDAYS(F100, TODAY(),fESTIVOS!$A$1:$A$18), NETWORKDAYS(F100, H100, fESTIVOS!$A$1:$A$18))</f>
        <v>1</v>
      </c>
      <c r="J100" s="188">
        <v>45621</v>
      </c>
      <c r="K100" s="518">
        <v>45621</v>
      </c>
      <c r="L100" s="411" t="s">
        <v>1073</v>
      </c>
      <c r="M100" s="178"/>
      <c r="N100" s="178"/>
      <c r="O100" s="178"/>
      <c r="P100" s="178"/>
      <c r="Q100" s="178"/>
      <c r="R100" s="178"/>
      <c r="S100" s="178"/>
      <c r="T100" s="178"/>
      <c r="U100" s="178"/>
      <c r="V100" s="178"/>
      <c r="W100" s="178"/>
      <c r="X100" s="178"/>
      <c r="Y100" s="178"/>
      <c r="Z100" s="178"/>
    </row>
    <row r="101" spans="1:33" ht="15.75" customHeight="1">
      <c r="A101" s="515" t="s">
        <v>596</v>
      </c>
      <c r="B101" s="519" t="s">
        <v>1074</v>
      </c>
      <c r="C101" s="520" t="s">
        <v>1075</v>
      </c>
      <c r="D101" s="521" t="s">
        <v>37</v>
      </c>
      <c r="E101" s="522">
        <v>45610</v>
      </c>
      <c r="F101" s="522">
        <v>45610</v>
      </c>
      <c r="G101" s="523"/>
      <c r="H101" s="524">
        <v>45622</v>
      </c>
      <c r="I101" s="517">
        <f ca="1">IF(ISBLANK(H101), NETWORKDAYS(F101, TODAY(),fESTIVOS!$A$1:$A$18), NETWORKDAYS(F101, H101, fESTIVOS!$A$1:$A$18))</f>
        <v>9</v>
      </c>
      <c r="J101" s="524"/>
      <c r="K101" s="524"/>
      <c r="L101" s="525" t="s">
        <v>1076</v>
      </c>
      <c r="M101" s="178"/>
      <c r="N101" s="178"/>
      <c r="O101" s="178"/>
      <c r="P101" s="178"/>
      <c r="Q101" s="178"/>
      <c r="R101" s="178"/>
      <c r="S101" s="178"/>
      <c r="T101" s="178"/>
      <c r="U101" s="178"/>
      <c r="V101" s="178"/>
      <c r="W101" s="178"/>
      <c r="X101" s="178"/>
      <c r="Y101" s="178"/>
      <c r="Z101" s="178"/>
    </row>
    <row r="102" spans="1:33" ht="15.75" customHeight="1">
      <c r="A102" s="515" t="s">
        <v>596</v>
      </c>
      <c r="B102" s="519" t="s">
        <v>1074</v>
      </c>
      <c r="C102" s="520" t="s">
        <v>1077</v>
      </c>
      <c r="D102" s="521" t="s">
        <v>1078</v>
      </c>
      <c r="E102" s="522">
        <v>45610</v>
      </c>
      <c r="F102" s="522"/>
      <c r="G102" s="523"/>
      <c r="H102" s="515">
        <v>0</v>
      </c>
      <c r="I102" s="517">
        <f ca="1">IF(ISBLANK(H102), NETWORKDAYS(F102, TODAY(),fESTIVOS!$A$1:$A$18), NETWORKDAYS(F102, H102, fESTIVOS!$A$1:$A$18))</f>
        <v>0</v>
      </c>
      <c r="J102" s="524"/>
      <c r="K102" s="524"/>
      <c r="L102" s="525" t="s">
        <v>1079</v>
      </c>
      <c r="M102" s="178"/>
      <c r="N102" s="178"/>
      <c r="O102" s="178"/>
      <c r="P102" s="178"/>
      <c r="Q102" s="178"/>
      <c r="R102" s="178"/>
      <c r="S102" s="178"/>
      <c r="T102" s="178"/>
      <c r="U102" s="178"/>
      <c r="V102" s="178"/>
      <c r="W102" s="178"/>
      <c r="X102" s="178"/>
      <c r="Y102" s="178"/>
      <c r="Z102" s="178"/>
    </row>
    <row r="103" spans="1:33" ht="15.75" customHeight="1">
      <c r="A103" s="177" t="s">
        <v>1080</v>
      </c>
      <c r="B103" s="406" t="s">
        <v>1081</v>
      </c>
      <c r="C103" s="396"/>
      <c r="D103" s="189" t="s">
        <v>37</v>
      </c>
      <c r="E103" s="188">
        <v>45611</v>
      </c>
      <c r="F103" s="188">
        <v>45616</v>
      </c>
      <c r="G103" s="188"/>
      <c r="H103" s="188">
        <v>45616</v>
      </c>
      <c r="I103" s="190">
        <f ca="1">IF(ISBLANK(H103), NETWORKDAYS(F103, TODAY(),fESTIVOS!$A$1:$A$18), NETWORKDAYS(F103, H103, fESTIVOS!$A$1:$A$18))</f>
        <v>1</v>
      </c>
      <c r="J103" s="188"/>
      <c r="K103" s="188"/>
      <c r="L103" s="191" t="s">
        <v>1082</v>
      </c>
      <c r="M103" s="413"/>
      <c r="N103" s="178"/>
      <c r="O103" s="178"/>
      <c r="P103" s="178"/>
      <c r="Q103" s="178"/>
      <c r="R103" s="178"/>
      <c r="S103" s="178"/>
      <c r="T103" s="178"/>
      <c r="U103" s="178"/>
      <c r="V103" s="178"/>
      <c r="W103" s="178"/>
      <c r="X103" s="178"/>
      <c r="Y103" s="178"/>
      <c r="Z103" s="178"/>
    </row>
    <row r="104" spans="1:33" ht="15.75" customHeight="1">
      <c r="A104" s="217" t="s">
        <v>603</v>
      </c>
      <c r="B104" s="440" t="s">
        <v>1083</v>
      </c>
      <c r="C104" s="526" t="s">
        <v>1084</v>
      </c>
      <c r="D104" s="472" t="s">
        <v>989</v>
      </c>
      <c r="E104" s="498">
        <v>45603</v>
      </c>
      <c r="F104" s="498">
        <v>45603</v>
      </c>
      <c r="G104" s="498">
        <v>45603</v>
      </c>
      <c r="H104" s="498">
        <v>45621</v>
      </c>
      <c r="I104" s="499">
        <f ca="1">IF(ISBLANK(H104), NETWORKDAYS(F104, TODAY(),fESTIVOS!$A$1:$A$18), NETWORKDAYS(F104, H104, fESTIVOS!$A$1:$A$18))</f>
        <v>12</v>
      </c>
      <c r="J104" s="498">
        <v>45621</v>
      </c>
      <c r="K104" s="498">
        <v>45622</v>
      </c>
      <c r="L104" s="500" t="s">
        <v>1085</v>
      </c>
      <c r="M104" s="178"/>
      <c r="N104" s="178"/>
      <c r="O104" s="178"/>
      <c r="P104" s="178"/>
      <c r="Q104" s="178"/>
      <c r="R104" s="178"/>
      <c r="S104" s="178"/>
      <c r="T104" s="178"/>
      <c r="U104" s="178"/>
      <c r="V104" s="178"/>
      <c r="W104" s="178"/>
      <c r="X104" s="178"/>
      <c r="Y104" s="178"/>
      <c r="Z104" s="178"/>
    </row>
    <row r="105" spans="1:33" ht="15.75" customHeight="1">
      <c r="A105" s="515" t="s">
        <v>596</v>
      </c>
      <c r="B105" s="527" t="s">
        <v>1074</v>
      </c>
      <c r="C105" s="520" t="s">
        <v>1086</v>
      </c>
      <c r="D105" s="528" t="s">
        <v>989</v>
      </c>
      <c r="E105" s="522">
        <v>45610</v>
      </c>
      <c r="F105" s="522">
        <v>45610</v>
      </c>
      <c r="G105" s="523">
        <v>45611</v>
      </c>
      <c r="H105" s="529">
        <v>45621</v>
      </c>
      <c r="I105" s="517">
        <f ca="1">IF(ISBLANK(H105), NETWORKDAYS(F105, TODAY(),fESTIVOS!$A$1:$A$18), NETWORKDAYS(F105, H105, fESTIVOS!$A$1:$A$18))</f>
        <v>8</v>
      </c>
      <c r="J105" s="524">
        <v>45621</v>
      </c>
      <c r="K105" s="524">
        <v>45624</v>
      </c>
      <c r="L105" s="525" t="s">
        <v>1087</v>
      </c>
      <c r="M105" s="178"/>
      <c r="N105" s="178"/>
      <c r="O105" s="178"/>
      <c r="P105" s="178"/>
      <c r="Q105" s="178"/>
      <c r="R105" s="178"/>
      <c r="S105" s="178"/>
      <c r="T105" s="178"/>
      <c r="U105" s="178"/>
      <c r="V105" s="178"/>
      <c r="W105" s="178"/>
      <c r="X105" s="178"/>
      <c r="Y105" s="178"/>
      <c r="Z105" s="178"/>
    </row>
    <row r="106" spans="1:33" ht="15.75" customHeight="1">
      <c r="A106" s="412" t="s">
        <v>869</v>
      </c>
      <c r="B106" s="530" t="s">
        <v>889</v>
      </c>
      <c r="C106" s="410" t="s">
        <v>1088</v>
      </c>
      <c r="D106" s="410" t="s">
        <v>1089</v>
      </c>
      <c r="E106" s="188">
        <v>45593</v>
      </c>
      <c r="F106" s="188">
        <v>45593</v>
      </c>
      <c r="G106" s="188"/>
      <c r="H106" s="188"/>
      <c r="I106" s="190">
        <f ca="1">IF(ISBLANK(H106), NETWORKDAYS(F106, TODAY(),fESTIVOS!$A$1:$A$18), NETWORKDAYS(F106, H106, fESTIVOS!$A$1:$A$18))</f>
        <v>356</v>
      </c>
      <c r="J106" s="188">
        <v>45611</v>
      </c>
      <c r="K106" s="188">
        <v>45611</v>
      </c>
      <c r="L106" s="191" t="s">
        <v>1090</v>
      </c>
      <c r="M106" s="413"/>
      <c r="N106" s="178"/>
      <c r="O106" s="178"/>
      <c r="P106" s="178"/>
      <c r="Q106" s="178"/>
      <c r="R106" s="178"/>
      <c r="S106" s="178"/>
      <c r="T106" s="178"/>
      <c r="U106" s="178"/>
      <c r="V106" s="178"/>
      <c r="W106" s="178"/>
      <c r="X106" s="178"/>
      <c r="Y106" s="178"/>
      <c r="Z106" s="178"/>
    </row>
    <row r="107" spans="1:33" ht="15.75" customHeight="1">
      <c r="A107" s="201" t="s">
        <v>611</v>
      </c>
      <c r="B107" s="439" t="s">
        <v>1091</v>
      </c>
      <c r="C107" s="216"/>
      <c r="D107" s="531" t="s">
        <v>37</v>
      </c>
      <c r="E107" s="220">
        <v>45623</v>
      </c>
      <c r="F107" s="202">
        <v>45623</v>
      </c>
      <c r="G107" s="201"/>
      <c r="H107" s="202">
        <v>45625</v>
      </c>
      <c r="I107" s="198">
        <f ca="1">IF(ISBLANK(H107), NETWORKDAYS(F107, TODAY(),fESTIVOS!$A$1:$A$18), NETWORKDAYS(F107, H107, fESTIVOS!$A$1:$A$18))</f>
        <v>3</v>
      </c>
      <c r="J107" s="202">
        <v>45625</v>
      </c>
      <c r="K107" s="216"/>
      <c r="L107" s="501" t="s">
        <v>1092</v>
      </c>
      <c r="M107" s="413"/>
      <c r="N107" s="178"/>
      <c r="O107" s="178"/>
      <c r="P107" s="178"/>
      <c r="Q107" s="178"/>
      <c r="R107" s="178"/>
      <c r="S107" s="178"/>
      <c r="T107" s="178"/>
      <c r="U107" s="178"/>
      <c r="V107" s="178"/>
      <c r="W107" s="178"/>
      <c r="X107" s="178"/>
      <c r="Y107" s="178"/>
      <c r="Z107" s="178"/>
    </row>
    <row r="108" spans="1:33" ht="15.75" customHeight="1">
      <c r="A108" s="532" t="s">
        <v>596</v>
      </c>
      <c r="B108" s="519" t="s">
        <v>1093</v>
      </c>
      <c r="C108" s="533"/>
      <c r="D108" s="534" t="s">
        <v>989</v>
      </c>
      <c r="E108" s="535">
        <v>45624</v>
      </c>
      <c r="F108" s="535">
        <v>45625</v>
      </c>
      <c r="G108" s="523"/>
      <c r="H108" s="522">
        <v>45625</v>
      </c>
      <c r="I108" s="517">
        <f ca="1">IF(ISBLANK(H108), NETWORKDAYS(F108, TODAY(),fESTIVOS!$A$1:$A$18), NETWORKDAYS(F108, H108, fESTIVOS!$A$1:$A$18))</f>
        <v>1</v>
      </c>
      <c r="J108" s="522">
        <v>45625</v>
      </c>
      <c r="K108" s="522">
        <v>45625</v>
      </c>
      <c r="L108" s="525" t="s">
        <v>1094</v>
      </c>
      <c r="M108" s="178"/>
      <c r="N108" s="178"/>
      <c r="O108" s="178"/>
      <c r="P108" s="178"/>
      <c r="Q108" s="178"/>
      <c r="R108" s="178"/>
      <c r="S108" s="178"/>
      <c r="T108" s="178"/>
      <c r="U108" s="178"/>
      <c r="V108" s="178"/>
      <c r="W108" s="178"/>
      <c r="X108" s="178"/>
      <c r="Y108" s="178"/>
      <c r="Z108" s="178"/>
    </row>
    <row r="109" spans="1:33" ht="15.75" customHeight="1">
      <c r="A109" s="216" t="s">
        <v>603</v>
      </c>
      <c r="B109" s="536" t="s">
        <v>1095</v>
      </c>
      <c r="C109" s="441" t="s">
        <v>1096</v>
      </c>
      <c r="D109" s="195" t="s">
        <v>482</v>
      </c>
      <c r="E109" s="220">
        <v>45618</v>
      </c>
      <c r="F109" s="220">
        <v>45618</v>
      </c>
      <c r="G109" s="537"/>
      <c r="H109" s="220">
        <v>45625</v>
      </c>
      <c r="I109" s="198">
        <f ca="1">IF(ISBLANK(H109), NETWORKDAYS(F109, TODAY(),fESTIVOS!$A$1:$A$18), NETWORKDAYS(F109, H109, fESTIVOS!$A$1:$A$18))</f>
        <v>6</v>
      </c>
      <c r="J109" s="220">
        <v>45625</v>
      </c>
      <c r="K109" s="220">
        <v>45625</v>
      </c>
      <c r="L109" s="538" t="s">
        <v>1097</v>
      </c>
      <c r="M109" s="178"/>
      <c r="N109" s="178"/>
      <c r="O109" s="178"/>
      <c r="P109" s="178"/>
      <c r="Q109" s="178"/>
      <c r="R109" s="178"/>
      <c r="S109" s="178"/>
      <c r="T109" s="178"/>
      <c r="U109" s="178"/>
      <c r="V109" s="178"/>
      <c r="W109" s="178"/>
      <c r="X109" s="178"/>
      <c r="Y109" s="178"/>
      <c r="Z109" s="178"/>
    </row>
    <row r="110" spans="1:33" ht="15.75" customHeight="1">
      <c r="A110" s="539" t="s">
        <v>869</v>
      </c>
      <c r="B110" s="397" t="s">
        <v>1098</v>
      </c>
      <c r="C110" s="484" t="s">
        <v>1099</v>
      </c>
      <c r="D110" s="434" t="s">
        <v>1100</v>
      </c>
      <c r="E110" s="458">
        <v>45616</v>
      </c>
      <c r="F110" s="458">
        <v>45616</v>
      </c>
      <c r="G110" s="458"/>
      <c r="H110" s="426"/>
      <c r="I110" s="403">
        <f ca="1">IF(ISBLANK(H110), NETWORKDAYS(F110, TODAY(),fESTIVOS!$A$1:$A$18), NETWORKDAYS(F110, H110, fESTIVOS!$A$1:$A$18))</f>
        <v>341</v>
      </c>
      <c r="J110" s="458"/>
      <c r="K110" s="458"/>
      <c r="L110" s="459" t="s">
        <v>1101</v>
      </c>
      <c r="M110" s="413"/>
      <c r="N110" s="178"/>
      <c r="O110" s="178"/>
      <c r="P110" s="178"/>
      <c r="Q110" s="178"/>
      <c r="R110" s="178"/>
      <c r="S110" s="178"/>
      <c r="T110" s="178"/>
      <c r="U110" s="178"/>
      <c r="V110" s="178"/>
      <c r="W110" s="178"/>
      <c r="X110" s="178"/>
      <c r="Y110" s="178"/>
      <c r="Z110" s="178"/>
    </row>
    <row r="111" spans="1:33" ht="15.75" customHeight="1">
      <c r="A111" s="412" t="s">
        <v>869</v>
      </c>
      <c r="B111" s="187" t="s">
        <v>1049</v>
      </c>
      <c r="C111" s="540" t="s">
        <v>1102</v>
      </c>
      <c r="D111" s="410" t="s">
        <v>989</v>
      </c>
      <c r="E111" s="507">
        <v>45616</v>
      </c>
      <c r="F111" s="541">
        <v>45617</v>
      </c>
      <c r="G111" s="506"/>
      <c r="H111" s="188">
        <v>45618</v>
      </c>
      <c r="I111" s="190">
        <f ca="1">IF(ISBLANK(H111), NETWORKDAYS(F111, TODAY(),fESTIVOS!$A$1:$A$18), NETWORKDAYS(F111, H111, fESTIVOS!$A$1:$A$18))</f>
        <v>2</v>
      </c>
      <c r="J111" s="188">
        <v>45618</v>
      </c>
      <c r="K111" s="507">
        <v>45630</v>
      </c>
      <c r="L111" s="542" t="s">
        <v>1103</v>
      </c>
    </row>
    <row r="112" spans="1:33" ht="15.75" customHeight="1">
      <c r="A112" s="412" t="s">
        <v>869</v>
      </c>
      <c r="B112" s="187" t="s">
        <v>1049</v>
      </c>
      <c r="C112" s="540" t="s">
        <v>1104</v>
      </c>
      <c r="D112" s="410" t="s">
        <v>989</v>
      </c>
      <c r="E112" s="507">
        <v>45618</v>
      </c>
      <c r="F112" s="541">
        <v>45618</v>
      </c>
      <c r="G112" s="506"/>
      <c r="H112" s="541">
        <v>45618</v>
      </c>
      <c r="I112" s="190">
        <f ca="1">IF(ISBLANK(H112), NETWORKDAYS(F112, TODAY(),fESTIVOS!$A$1:$A$18), NETWORKDAYS(F112, H112, fESTIVOS!$A$1:$A$18))</f>
        <v>1</v>
      </c>
      <c r="J112" s="541">
        <v>45618</v>
      </c>
      <c r="K112" s="507">
        <v>45630</v>
      </c>
      <c r="L112" s="542" t="s">
        <v>1105</v>
      </c>
    </row>
    <row r="113" spans="1:33" ht="15.75" customHeight="1">
      <c r="A113" s="412" t="s">
        <v>869</v>
      </c>
      <c r="B113" s="187" t="s">
        <v>1049</v>
      </c>
      <c r="C113" s="490" t="s">
        <v>1106</v>
      </c>
      <c r="D113" s="410" t="s">
        <v>989</v>
      </c>
      <c r="E113" s="507">
        <v>45616</v>
      </c>
      <c r="F113" s="541">
        <v>45616</v>
      </c>
      <c r="G113" s="506"/>
      <c r="H113" s="188">
        <v>45618</v>
      </c>
      <c r="I113" s="190">
        <f ca="1">IF(ISBLANK(H113), NETWORKDAYS(F113, TODAY(),fESTIVOS!$A$1:$A$18), NETWORKDAYS(F113, H113, fESTIVOS!$A$1:$A$18))</f>
        <v>3</v>
      </c>
      <c r="J113" s="188">
        <v>45618</v>
      </c>
      <c r="K113" s="507">
        <v>45630</v>
      </c>
      <c r="L113" s="446" t="s">
        <v>1107</v>
      </c>
    </row>
    <row r="114" spans="1:33" ht="15.75" customHeight="1">
      <c r="A114" s="201" t="s">
        <v>611</v>
      </c>
      <c r="B114" s="543" t="s">
        <v>1108</v>
      </c>
      <c r="C114" s="495"/>
      <c r="D114" s="495" t="s">
        <v>37</v>
      </c>
      <c r="E114" s="503">
        <v>45629</v>
      </c>
      <c r="F114" s="503">
        <v>45629</v>
      </c>
      <c r="G114" s="217"/>
      <c r="H114" s="503">
        <v>45629</v>
      </c>
      <c r="I114" s="198">
        <f ca="1">IF(ISBLANK(H114), NETWORKDAYS(F114, TODAY(),fESTIVOS!$A$1:$A$18), NETWORKDAYS(F114, H114, fESTIVOS!$A$1:$A$18))</f>
        <v>1</v>
      </c>
      <c r="J114" s="495"/>
      <c r="K114" s="503">
        <v>45630</v>
      </c>
      <c r="L114" s="544" t="s">
        <v>1109</v>
      </c>
      <c r="M114" s="413"/>
      <c r="N114" s="178"/>
      <c r="O114" s="178"/>
      <c r="P114" s="178"/>
      <c r="Q114" s="178"/>
      <c r="R114" s="178"/>
      <c r="S114" s="178"/>
      <c r="T114" s="178"/>
      <c r="U114" s="178"/>
      <c r="V114" s="178"/>
      <c r="W114" s="178"/>
      <c r="X114" s="178"/>
      <c r="Y114" s="178"/>
      <c r="Z114" s="178"/>
      <c r="AA114" s="223"/>
      <c r="AB114" s="223"/>
      <c r="AC114" s="223"/>
      <c r="AD114" s="223"/>
      <c r="AE114" s="223"/>
      <c r="AF114" s="223"/>
      <c r="AG114" s="223"/>
    </row>
    <row r="115" spans="1:33" ht="15.75" customHeight="1">
      <c r="A115" s="412" t="s">
        <v>869</v>
      </c>
      <c r="B115" s="412" t="s">
        <v>1110</v>
      </c>
      <c r="C115" s="187"/>
      <c r="D115" s="410" t="s">
        <v>989</v>
      </c>
      <c r="E115" s="188">
        <v>45628</v>
      </c>
      <c r="F115" s="188">
        <v>45630</v>
      </c>
      <c r="G115" s="188"/>
      <c r="H115" s="188">
        <v>45631</v>
      </c>
      <c r="I115" s="190">
        <f ca="1">IF(ISBLANK(H115), NETWORKDAYS(F115, TODAY(),fESTIVOS!$A$1:$A$18), NETWORKDAYS(F115, H115, fESTIVOS!$A$1:$A$18))</f>
        <v>2</v>
      </c>
      <c r="J115" s="188"/>
      <c r="K115" s="188">
        <v>45631</v>
      </c>
      <c r="L115" s="191" t="s">
        <v>1111</v>
      </c>
      <c r="M115" s="413"/>
      <c r="N115" s="178"/>
      <c r="O115" s="178"/>
      <c r="P115" s="178"/>
      <c r="Q115" s="178"/>
      <c r="R115" s="178"/>
      <c r="S115" s="178"/>
      <c r="T115" s="178"/>
      <c r="U115" s="178"/>
      <c r="V115" s="178"/>
      <c r="W115" s="178"/>
      <c r="X115" s="178"/>
      <c r="Y115" s="178"/>
      <c r="Z115" s="178"/>
    </row>
    <row r="116" spans="1:33" ht="15.75" customHeight="1">
      <c r="A116" s="201" t="s">
        <v>611</v>
      </c>
      <c r="B116" s="545" t="s">
        <v>1112</v>
      </c>
      <c r="C116" s="495"/>
      <c r="D116" s="495" t="s">
        <v>37</v>
      </c>
      <c r="E116" s="503">
        <v>45628</v>
      </c>
      <c r="F116" s="503">
        <v>45630</v>
      </c>
      <c r="G116" s="217"/>
      <c r="H116" s="503">
        <v>45632</v>
      </c>
      <c r="I116" s="198">
        <f ca="1">IF(ISBLANK(H116), NETWORKDAYS(F116, TODAY(),fESTIVOS!$A$1:$A$18), NETWORKDAYS(F116, H116, fESTIVOS!$A$1:$A$18))</f>
        <v>3</v>
      </c>
      <c r="J116" s="495"/>
      <c r="K116" s="495"/>
      <c r="L116" s="504" t="s">
        <v>1113</v>
      </c>
      <c r="M116" s="413"/>
      <c r="N116" s="178"/>
      <c r="O116" s="178"/>
      <c r="P116" s="178"/>
      <c r="Q116" s="178"/>
      <c r="R116" s="178"/>
      <c r="S116" s="178"/>
      <c r="T116" s="178"/>
      <c r="U116" s="178"/>
      <c r="V116" s="178"/>
      <c r="W116" s="178"/>
      <c r="X116" s="178"/>
      <c r="Y116" s="178"/>
      <c r="Z116" s="178"/>
      <c r="AA116" s="223"/>
      <c r="AB116" s="223"/>
      <c r="AC116" s="223"/>
      <c r="AD116" s="223"/>
      <c r="AE116" s="223"/>
      <c r="AF116" s="223"/>
      <c r="AG116" s="223"/>
    </row>
    <row r="117" spans="1:33" ht="15.75" customHeight="1">
      <c r="A117" s="201" t="s">
        <v>611</v>
      </c>
      <c r="B117" s="545" t="s">
        <v>1114</v>
      </c>
      <c r="C117" s="495"/>
      <c r="D117" s="495" t="s">
        <v>37</v>
      </c>
      <c r="E117" s="503">
        <v>45635</v>
      </c>
      <c r="F117" s="503">
        <v>45635</v>
      </c>
      <c r="G117" s="217"/>
      <c r="H117" s="503">
        <v>45635</v>
      </c>
      <c r="I117" s="198">
        <f ca="1">IF(ISBLANK(H117), NETWORKDAYS(F117, TODAY(),fESTIVOS!$A$1:$A$18), NETWORKDAYS(F117, H117, fESTIVOS!$A$1:$A$18))</f>
        <v>1</v>
      </c>
      <c r="J117" s="503">
        <v>45635</v>
      </c>
      <c r="K117" s="495"/>
      <c r="L117" s="504"/>
      <c r="M117" s="413"/>
      <c r="N117" s="178"/>
      <c r="O117" s="178"/>
      <c r="P117" s="178"/>
      <c r="Q117" s="178"/>
      <c r="R117" s="178"/>
      <c r="S117" s="178"/>
      <c r="T117" s="178"/>
      <c r="U117" s="178"/>
      <c r="V117" s="178"/>
      <c r="W117" s="178"/>
      <c r="X117" s="178"/>
      <c r="Y117" s="178"/>
      <c r="Z117" s="178"/>
      <c r="AA117" s="223"/>
      <c r="AB117" s="223"/>
      <c r="AC117" s="223"/>
      <c r="AD117" s="223"/>
      <c r="AE117" s="223"/>
      <c r="AF117" s="223"/>
      <c r="AG117" s="223"/>
    </row>
    <row r="118" spans="1:33" ht="15.75" customHeight="1">
      <c r="A118" s="216" t="s">
        <v>621</v>
      </c>
      <c r="B118" s="193" t="s">
        <v>1115</v>
      </c>
      <c r="C118" s="546"/>
      <c r="D118" s="442" t="s">
        <v>37</v>
      </c>
      <c r="E118" s="220">
        <v>45630</v>
      </c>
      <c r="F118" s="220">
        <v>45631</v>
      </c>
      <c r="G118" s="454"/>
      <c r="H118" s="455">
        <v>45635</v>
      </c>
      <c r="I118" s="547">
        <f ca="1">IF(ISBLANK(H118), NETWORKDAYS(F118, TODAY(),fESTIVOS!$A$1:$A$18), NETWORKDAYS(F118, H118, fESTIVOS!$A$1:$A$18))</f>
        <v>3</v>
      </c>
      <c r="J118" s="455"/>
      <c r="K118" s="455"/>
      <c r="L118" s="548" t="s">
        <v>1116</v>
      </c>
      <c r="M118" s="413"/>
      <c r="N118" s="178"/>
      <c r="O118" s="178"/>
      <c r="P118" s="178"/>
      <c r="Q118" s="178"/>
      <c r="R118" s="178"/>
      <c r="S118" s="178"/>
      <c r="T118" s="178"/>
      <c r="U118" s="178"/>
      <c r="V118" s="178"/>
      <c r="W118" s="178"/>
      <c r="X118" s="178"/>
      <c r="Y118" s="178"/>
      <c r="Z118" s="178"/>
    </row>
    <row r="119" spans="1:33" ht="15.75" customHeight="1">
      <c r="A119" s="201" t="s">
        <v>611</v>
      </c>
      <c r="B119" s="201" t="s">
        <v>1117</v>
      </c>
      <c r="C119" s="216"/>
      <c r="D119" s="216" t="s">
        <v>37</v>
      </c>
      <c r="E119" s="202">
        <v>45635</v>
      </c>
      <c r="F119" s="202">
        <v>45636</v>
      </c>
      <c r="G119" s="201"/>
      <c r="H119" s="202">
        <v>45636</v>
      </c>
      <c r="I119" s="198">
        <f ca="1">IF(ISBLANK(H119), NETWORKDAYS(F119, TODAY(),fESTIVOS!$A$1:$A$18), NETWORKDAYS(F119, H119, fESTIVOS!$A$1:$A$18))</f>
        <v>1</v>
      </c>
      <c r="J119" s="216"/>
      <c r="K119" s="202">
        <v>45636</v>
      </c>
      <c r="L119" s="501" t="s">
        <v>1118</v>
      </c>
      <c r="M119" s="413"/>
      <c r="N119" s="178"/>
      <c r="O119" s="178"/>
      <c r="P119" s="178"/>
      <c r="Q119" s="178"/>
      <c r="R119" s="178"/>
      <c r="S119" s="178"/>
      <c r="T119" s="178"/>
      <c r="U119" s="178"/>
      <c r="V119" s="178"/>
      <c r="W119" s="178"/>
      <c r="X119" s="178"/>
      <c r="Y119" s="178"/>
      <c r="Z119" s="178"/>
      <c r="AA119" s="223"/>
      <c r="AB119" s="223"/>
      <c r="AC119" s="223"/>
      <c r="AD119" s="223"/>
      <c r="AE119" s="223"/>
      <c r="AF119" s="223"/>
      <c r="AG119" s="223"/>
    </row>
    <row r="120" spans="1:33" ht="15.75" customHeight="1">
      <c r="A120" s="216" t="s">
        <v>621</v>
      </c>
      <c r="B120" s="549" t="s">
        <v>1119</v>
      </c>
      <c r="C120" s="546"/>
      <c r="D120" s="195" t="s">
        <v>989</v>
      </c>
      <c r="E120" s="220">
        <v>45631</v>
      </c>
      <c r="F120" s="220">
        <v>45635</v>
      </c>
      <c r="G120" s="220"/>
      <c r="H120" s="220">
        <v>45636</v>
      </c>
      <c r="I120" s="198">
        <f ca="1">IF(ISBLANK(H120), NETWORKDAYS(F120, TODAY(),fESTIVOS!$A$1:$A$18), NETWORKDAYS(F120, H120, fESTIVOS!$A$1:$A$18))</f>
        <v>2</v>
      </c>
      <c r="J120" s="220"/>
      <c r="K120" s="220"/>
      <c r="L120" s="538" t="s">
        <v>1120</v>
      </c>
      <c r="M120" s="413"/>
      <c r="N120" s="178"/>
      <c r="O120" s="178"/>
      <c r="P120" s="178"/>
      <c r="Q120" s="178"/>
      <c r="R120" s="178"/>
      <c r="S120" s="178"/>
      <c r="T120" s="178"/>
      <c r="U120" s="178"/>
      <c r="V120" s="178"/>
      <c r="W120" s="178"/>
      <c r="X120" s="178"/>
      <c r="Y120" s="178"/>
      <c r="Z120" s="178"/>
    </row>
    <row r="121" spans="1:33" ht="15.75" customHeight="1">
      <c r="A121" s="177" t="s">
        <v>596</v>
      </c>
      <c r="B121" s="415" t="s">
        <v>1121</v>
      </c>
      <c r="C121" s="515"/>
      <c r="D121" s="521" t="s">
        <v>37</v>
      </c>
      <c r="E121" s="522">
        <v>45632</v>
      </c>
      <c r="F121" s="522">
        <v>45632</v>
      </c>
      <c r="G121" s="523"/>
      <c r="H121" s="524">
        <v>45637</v>
      </c>
      <c r="I121" s="190">
        <f ca="1">IF(ISBLANK(H121), NETWORKDAYS(F121, TODAY(),fESTIVOS!$A$1:$A$18), NETWORKDAYS(F121, H121, fESTIVOS!$A$1:$A$18))</f>
        <v>4</v>
      </c>
      <c r="J121" s="524"/>
      <c r="K121" s="524">
        <v>45636</v>
      </c>
      <c r="L121" s="525" t="s">
        <v>1122</v>
      </c>
      <c r="M121" s="550"/>
      <c r="N121" s="550"/>
      <c r="O121" s="550"/>
      <c r="P121" s="550"/>
      <c r="Q121" s="550"/>
      <c r="R121" s="550"/>
      <c r="S121" s="550"/>
      <c r="T121" s="550"/>
      <c r="U121" s="550"/>
      <c r="V121" s="550"/>
      <c r="W121" s="550"/>
      <c r="X121" s="550"/>
      <c r="Y121" s="550"/>
      <c r="Z121" s="550"/>
      <c r="AA121" s="551"/>
      <c r="AB121" s="551"/>
      <c r="AC121" s="551"/>
      <c r="AD121" s="551"/>
      <c r="AE121" s="551"/>
      <c r="AF121" s="551"/>
      <c r="AG121" s="551"/>
    </row>
    <row r="122" spans="1:33" ht="15.75" customHeight="1">
      <c r="A122" s="177" t="s">
        <v>596</v>
      </c>
      <c r="B122" s="362"/>
      <c r="C122" s="394" t="s">
        <v>1123</v>
      </c>
      <c r="D122" s="521" t="s">
        <v>37</v>
      </c>
      <c r="E122" s="522">
        <v>45637</v>
      </c>
      <c r="F122" s="522">
        <v>45638</v>
      </c>
      <c r="G122" s="523"/>
      <c r="H122" s="518">
        <v>45639</v>
      </c>
      <c r="I122" s="190">
        <f ca="1">IF(ISBLANK(H122), NETWORKDAYS(F122, TODAY(),fESTIVOS!$A$1:$A$18), NETWORKDAYS(F122, H122, fESTIVOS!$A$1:$A$18))</f>
        <v>2</v>
      </c>
      <c r="J122" s="524"/>
      <c r="K122" s="524"/>
      <c r="L122" s="525" t="s">
        <v>1124</v>
      </c>
      <c r="M122" s="550"/>
      <c r="N122" s="550"/>
      <c r="O122" s="550"/>
      <c r="P122" s="550"/>
      <c r="Q122" s="550"/>
      <c r="R122" s="550"/>
      <c r="S122" s="550"/>
      <c r="T122" s="550"/>
      <c r="U122" s="550"/>
      <c r="V122" s="550"/>
      <c r="W122" s="550"/>
      <c r="X122" s="550"/>
      <c r="Y122" s="550"/>
      <c r="Z122" s="550"/>
      <c r="AA122" s="551"/>
      <c r="AB122" s="551"/>
      <c r="AC122" s="551"/>
      <c r="AD122" s="551"/>
      <c r="AE122" s="551"/>
      <c r="AF122" s="551"/>
      <c r="AG122" s="551"/>
    </row>
    <row r="123" spans="1:33" ht="15.75" customHeight="1">
      <c r="A123" s="217" t="s">
        <v>603</v>
      </c>
      <c r="B123" s="552" t="s">
        <v>1125</v>
      </c>
      <c r="C123" s="553" t="s">
        <v>1126</v>
      </c>
      <c r="D123" s="442" t="s">
        <v>989</v>
      </c>
      <c r="E123" s="498">
        <v>45636</v>
      </c>
      <c r="F123" s="498">
        <v>45636</v>
      </c>
      <c r="G123" s="498"/>
      <c r="H123" s="498"/>
      <c r="I123" s="499">
        <f ca="1">IF(ISBLANK(H123), NETWORKDAYS(F123, TODAY(),fESTIVOS!$A$1:$A$18), NETWORKDAYS(F123, H123, fESTIVOS!$A$1:$A$18))</f>
        <v>327</v>
      </c>
      <c r="J123" s="554">
        <v>45637</v>
      </c>
      <c r="K123" s="498">
        <v>45638</v>
      </c>
      <c r="L123" s="500" t="s">
        <v>1127</v>
      </c>
      <c r="M123" s="178"/>
      <c r="N123" s="178"/>
      <c r="O123" s="178"/>
      <c r="P123" s="178"/>
      <c r="Q123" s="178"/>
      <c r="R123" s="178"/>
      <c r="S123" s="178"/>
      <c r="T123" s="178"/>
      <c r="U123" s="178"/>
      <c r="V123" s="178"/>
      <c r="W123" s="178"/>
      <c r="X123" s="178"/>
      <c r="Y123" s="178"/>
      <c r="Z123" s="178"/>
    </row>
    <row r="124" spans="1:33" ht="15.75" customHeight="1">
      <c r="A124" s="201" t="s">
        <v>603</v>
      </c>
      <c r="B124" s="211" t="s">
        <v>1128</v>
      </c>
      <c r="C124" s="219" t="s">
        <v>1129</v>
      </c>
      <c r="D124" s="442" t="s">
        <v>37</v>
      </c>
      <c r="E124" s="220">
        <v>45636</v>
      </c>
      <c r="F124" s="220">
        <v>45636</v>
      </c>
      <c r="G124" s="220"/>
      <c r="H124" s="220">
        <v>45638</v>
      </c>
      <c r="I124" s="198">
        <f ca="1">IF(ISBLANK(H124), NETWORKDAYS(F124, TODAY(),fESTIVOS!$A$1:$A$18), NETWORKDAYS(F124, H124, fESTIVOS!$A$1:$A$18))</f>
        <v>3</v>
      </c>
      <c r="J124" s="220">
        <v>45638</v>
      </c>
      <c r="K124" s="220">
        <v>45638</v>
      </c>
      <c r="L124" s="443" t="s">
        <v>1130</v>
      </c>
      <c r="M124" s="178"/>
      <c r="N124" s="178"/>
      <c r="O124" s="178"/>
      <c r="P124" s="178"/>
      <c r="Q124" s="178"/>
      <c r="R124" s="178"/>
      <c r="S124" s="178"/>
      <c r="T124" s="178"/>
      <c r="U124" s="178"/>
      <c r="V124" s="178"/>
      <c r="W124" s="178"/>
      <c r="X124" s="178"/>
      <c r="Y124" s="178"/>
      <c r="Z124" s="178"/>
    </row>
    <row r="125" spans="1:33" ht="15.75" customHeight="1">
      <c r="A125" s="415" t="s">
        <v>869</v>
      </c>
      <c r="B125" s="395" t="s">
        <v>999</v>
      </c>
      <c r="C125" s="555" t="s">
        <v>1131</v>
      </c>
      <c r="D125" s="420" t="s">
        <v>37</v>
      </c>
      <c r="E125" s="489">
        <v>45630</v>
      </c>
      <c r="F125" s="489">
        <v>45631</v>
      </c>
      <c r="G125" s="421"/>
      <c r="H125" s="421">
        <v>45632</v>
      </c>
      <c r="I125" s="422">
        <f ca="1">IF(ISBLANK(H125), NETWORKDAYS(F125, TODAY(),fESTIVOS!$A$1:$A$18), NETWORKDAYS(F125, H125, fESTIVOS!$A$1:$A$18))</f>
        <v>2</v>
      </c>
      <c r="J125" s="181"/>
      <c r="K125" s="421">
        <v>45632</v>
      </c>
      <c r="L125" s="449"/>
      <c r="M125" s="448"/>
      <c r="N125" s="184"/>
      <c r="O125" s="184"/>
      <c r="P125" s="184"/>
      <c r="Q125" s="184"/>
      <c r="R125" s="184"/>
      <c r="S125" s="184"/>
      <c r="T125" s="184"/>
      <c r="U125" s="184"/>
      <c r="V125" s="184"/>
      <c r="W125" s="184"/>
      <c r="X125" s="184"/>
      <c r="Y125" s="184"/>
      <c r="Z125" s="184"/>
    </row>
    <row r="126" spans="1:33" ht="15.75" customHeight="1">
      <c r="A126" s="412" t="s">
        <v>869</v>
      </c>
      <c r="B126" s="395" t="s">
        <v>999</v>
      </c>
      <c r="C126" s="556" t="s">
        <v>1132</v>
      </c>
      <c r="D126" s="488" t="s">
        <v>45</v>
      </c>
      <c r="E126" s="489">
        <v>45631</v>
      </c>
      <c r="F126" s="421">
        <v>45631</v>
      </c>
      <c r="G126" s="421"/>
      <c r="H126" s="420"/>
      <c r="I126" s="190">
        <f ca="1">IF(ISBLANK(H126), NETWORKDAYS(F126, TODAY(),fESTIVOS!$A$1:$A$18), NETWORKDAYS(F126, H126, fESTIVOS!$A$1:$A$18))</f>
        <v>330</v>
      </c>
      <c r="J126" s="181"/>
      <c r="K126" s="181"/>
      <c r="L126" s="557"/>
      <c r="M126" s="448"/>
      <c r="N126" s="184"/>
      <c r="O126" s="184"/>
      <c r="P126" s="184"/>
      <c r="Q126" s="184"/>
      <c r="R126" s="184"/>
      <c r="S126" s="184"/>
      <c r="T126" s="184"/>
      <c r="U126" s="184"/>
      <c r="V126" s="184"/>
      <c r="W126" s="184"/>
      <c r="X126" s="184"/>
      <c r="Y126" s="184"/>
      <c r="Z126" s="184"/>
    </row>
    <row r="127" spans="1:33" ht="15.75" customHeight="1">
      <c r="A127" s="515" t="s">
        <v>596</v>
      </c>
      <c r="B127" s="533" t="s">
        <v>1133</v>
      </c>
      <c r="C127" s="520" t="s">
        <v>1134</v>
      </c>
      <c r="D127" s="521" t="s">
        <v>37</v>
      </c>
      <c r="E127" s="522">
        <v>45642</v>
      </c>
      <c r="F127" s="522">
        <v>45642</v>
      </c>
      <c r="G127" s="523"/>
      <c r="H127" s="524">
        <v>45643</v>
      </c>
      <c r="I127" s="517">
        <f ca="1">IF(ISBLANK(H127), NETWORKDAYS(F127, TODAY(),fESTIVOS!$A$1:$A$18), NETWORKDAYS(F127, H127, fESTIVOS!$A$1:$A$18))</f>
        <v>2</v>
      </c>
      <c r="J127" s="524"/>
      <c r="K127" s="524">
        <v>45643</v>
      </c>
      <c r="L127" s="525"/>
      <c r="M127" s="550"/>
      <c r="N127" s="550"/>
      <c r="O127" s="550"/>
      <c r="P127" s="550"/>
      <c r="Q127" s="550"/>
      <c r="R127" s="550"/>
      <c r="S127" s="550"/>
      <c r="T127" s="550"/>
      <c r="U127" s="550"/>
      <c r="V127" s="550"/>
      <c r="W127" s="550"/>
      <c r="X127" s="550"/>
      <c r="Y127" s="550"/>
      <c r="Z127" s="550"/>
      <c r="AA127" s="551"/>
      <c r="AB127" s="551"/>
      <c r="AC127" s="551"/>
      <c r="AD127" s="551"/>
      <c r="AE127" s="551"/>
      <c r="AF127" s="551"/>
      <c r="AG127" s="551"/>
    </row>
    <row r="128" spans="1:33" ht="15.75" customHeight="1">
      <c r="A128" s="515" t="s">
        <v>596</v>
      </c>
      <c r="B128" s="533" t="s">
        <v>1135</v>
      </c>
      <c r="C128" s="520"/>
      <c r="D128" s="521" t="s">
        <v>37</v>
      </c>
      <c r="E128" s="522">
        <v>45642</v>
      </c>
      <c r="F128" s="522">
        <v>45642</v>
      </c>
      <c r="G128" s="523"/>
      <c r="H128" s="524">
        <v>45643</v>
      </c>
      <c r="I128" s="517">
        <f ca="1">IF(ISBLANK(H128), NETWORKDAYS(F128, TODAY(),fESTIVOS!$A$1:$A$18), NETWORKDAYS(F128, H128, fESTIVOS!$A$1:$A$18))</f>
        <v>2</v>
      </c>
      <c r="J128" s="524"/>
      <c r="K128" s="524">
        <v>45643</v>
      </c>
      <c r="L128" s="525"/>
      <c r="M128" s="550"/>
      <c r="N128" s="550"/>
      <c r="O128" s="550"/>
      <c r="P128" s="550"/>
      <c r="Q128" s="550"/>
      <c r="R128" s="550"/>
      <c r="S128" s="550"/>
      <c r="T128" s="550"/>
      <c r="U128" s="550"/>
      <c r="V128" s="550"/>
      <c r="W128" s="550"/>
      <c r="X128" s="550"/>
      <c r="Y128" s="550"/>
      <c r="Z128" s="550"/>
      <c r="AA128" s="551"/>
      <c r="AB128" s="551"/>
      <c r="AC128" s="551"/>
      <c r="AD128" s="551"/>
      <c r="AE128" s="551"/>
      <c r="AF128" s="551"/>
      <c r="AG128" s="551"/>
    </row>
    <row r="129" spans="1:33" ht="15.75" customHeight="1">
      <c r="A129" s="415" t="s">
        <v>869</v>
      </c>
      <c r="B129" s="395"/>
      <c r="C129" s="557" t="s">
        <v>1136</v>
      </c>
      <c r="D129" s="420" t="s">
        <v>37</v>
      </c>
      <c r="E129" s="489">
        <v>45643</v>
      </c>
      <c r="F129" s="489">
        <v>45643</v>
      </c>
      <c r="G129" s="421"/>
      <c r="H129" s="489">
        <v>45643</v>
      </c>
      <c r="I129" s="422">
        <f ca="1">IF(ISBLANK(H129), NETWORKDAYS(F129, TODAY(),fESTIVOS!$A$1:$A$18), NETWORKDAYS(F129, H129, fESTIVOS!$A$1:$A$18))</f>
        <v>1</v>
      </c>
      <c r="J129" s="421"/>
      <c r="K129" s="421"/>
      <c r="L129" s="449"/>
      <c r="M129" s="448"/>
      <c r="N129" s="184"/>
      <c r="O129" s="184"/>
      <c r="P129" s="184"/>
      <c r="Q129" s="184"/>
      <c r="R129" s="184"/>
      <c r="S129" s="184"/>
      <c r="T129" s="184"/>
      <c r="U129" s="184"/>
      <c r="V129" s="184"/>
      <c r="W129" s="184"/>
      <c r="X129" s="184"/>
      <c r="Y129" s="184"/>
      <c r="Z129" s="184"/>
    </row>
    <row r="130" spans="1:33" ht="15.75" customHeight="1">
      <c r="A130" s="201" t="s">
        <v>611</v>
      </c>
      <c r="B130" s="201" t="s">
        <v>1137</v>
      </c>
      <c r="C130" s="216"/>
      <c r="D130" s="216" t="s">
        <v>37</v>
      </c>
      <c r="E130" s="202">
        <v>45643</v>
      </c>
      <c r="F130" s="202">
        <v>45644</v>
      </c>
      <c r="G130" s="201"/>
      <c r="H130" s="202">
        <v>45644</v>
      </c>
      <c r="I130" s="198">
        <f ca="1">IF(ISBLANK(H130), NETWORKDAYS(F130, TODAY(),fESTIVOS!$A$1:$A$18), NETWORKDAYS(F130, H130, fESTIVOS!$A$1:$A$18))</f>
        <v>1</v>
      </c>
      <c r="J130" s="202">
        <v>45644</v>
      </c>
      <c r="K130" s="216"/>
      <c r="L130" s="501"/>
      <c r="M130" s="413"/>
      <c r="N130" s="178"/>
      <c r="O130" s="178"/>
      <c r="P130" s="178"/>
      <c r="Q130" s="178"/>
      <c r="R130" s="178"/>
      <c r="S130" s="178"/>
      <c r="T130" s="178"/>
      <c r="U130" s="178"/>
      <c r="V130" s="178"/>
      <c r="W130" s="178"/>
      <c r="X130" s="178"/>
      <c r="Y130" s="178"/>
      <c r="Z130" s="178"/>
      <c r="AA130" s="223"/>
      <c r="AB130" s="223"/>
      <c r="AC130" s="223"/>
      <c r="AD130" s="223"/>
      <c r="AE130" s="223"/>
      <c r="AF130" s="223"/>
      <c r="AG130" s="223"/>
    </row>
    <row r="131" spans="1:33" ht="15.75" customHeight="1">
      <c r="A131" s="558" t="s">
        <v>611</v>
      </c>
      <c r="B131" s="224" t="s">
        <v>1138</v>
      </c>
      <c r="C131" s="559" t="s">
        <v>1139</v>
      </c>
      <c r="D131" s="560" t="s">
        <v>37</v>
      </c>
      <c r="E131" s="455">
        <v>45631</v>
      </c>
      <c r="F131" s="455">
        <v>45631</v>
      </c>
      <c r="G131" s="455"/>
      <c r="H131" s="455">
        <v>45632</v>
      </c>
      <c r="I131" s="547">
        <f ca="1">IF(ISBLANK(H131), NETWORKDAYS(F131, TODAY(),fESTIVOS!$A$1:$A$18), NETWORKDAYS(F131, H131, fESTIVOS!$A$1:$A$18))</f>
        <v>2</v>
      </c>
      <c r="J131" s="455"/>
      <c r="K131" s="455">
        <v>45632</v>
      </c>
      <c r="L131" s="456" t="s">
        <v>1140</v>
      </c>
      <c r="M131" s="178"/>
      <c r="N131" s="178"/>
      <c r="O131" s="178"/>
      <c r="P131" s="178"/>
      <c r="Q131" s="178"/>
      <c r="R131" s="178"/>
      <c r="S131" s="178"/>
      <c r="T131" s="178"/>
      <c r="U131" s="178"/>
      <c r="V131" s="178"/>
      <c r="W131" s="178"/>
      <c r="X131" s="178"/>
      <c r="Y131" s="178"/>
      <c r="Z131" s="178"/>
    </row>
    <row r="132" spans="1:33" ht="15.75" customHeight="1">
      <c r="A132" s="439" t="s">
        <v>611</v>
      </c>
      <c r="B132" s="217" t="s">
        <v>1141</v>
      </c>
      <c r="C132" s="219" t="s">
        <v>1142</v>
      </c>
      <c r="D132" s="216" t="s">
        <v>37</v>
      </c>
      <c r="E132" s="220">
        <v>45631</v>
      </c>
      <c r="F132" s="220">
        <v>45631</v>
      </c>
      <c r="G132" s="220"/>
      <c r="H132" s="220">
        <v>45632</v>
      </c>
      <c r="I132" s="547">
        <f ca="1">IF(ISBLANK(H132), NETWORKDAYS(F132, TODAY(),fESTIVOS!$A$1:$A$18), NETWORKDAYS(F132, H132, fESTIVOS!$A$1:$A$18))</f>
        <v>2</v>
      </c>
      <c r="J132" s="220"/>
      <c r="K132" s="220">
        <v>45632</v>
      </c>
      <c r="L132" s="443" t="s">
        <v>1140</v>
      </c>
      <c r="M132" s="178"/>
      <c r="N132" s="178"/>
      <c r="O132" s="178"/>
      <c r="P132" s="178"/>
      <c r="Q132" s="178"/>
      <c r="R132" s="178"/>
      <c r="S132" s="178"/>
      <c r="T132" s="178"/>
      <c r="U132" s="178"/>
      <c r="V132" s="178"/>
      <c r="W132" s="178"/>
      <c r="X132" s="178"/>
      <c r="Y132" s="178"/>
      <c r="Z132" s="178"/>
    </row>
    <row r="133" spans="1:33" ht="15.75" customHeight="1">
      <c r="A133" s="561" t="s">
        <v>611</v>
      </c>
      <c r="B133" s="217" t="s">
        <v>1141</v>
      </c>
      <c r="C133" s="526" t="s">
        <v>1143</v>
      </c>
      <c r="D133" s="216" t="s">
        <v>37</v>
      </c>
      <c r="E133" s="220">
        <v>45631</v>
      </c>
      <c r="F133" s="220">
        <v>45631</v>
      </c>
      <c r="G133" s="498"/>
      <c r="H133" s="220">
        <v>45632</v>
      </c>
      <c r="I133" s="547">
        <f ca="1">IF(ISBLANK(H133), NETWORKDAYS(F133, TODAY(),fESTIVOS!$A$1:$A$18), NETWORKDAYS(F133, H133, fESTIVOS!$A$1:$A$18))</f>
        <v>2</v>
      </c>
      <c r="J133" s="498"/>
      <c r="K133" s="220">
        <v>45632</v>
      </c>
      <c r="L133" s="443" t="s">
        <v>1140</v>
      </c>
      <c r="M133" s="178"/>
      <c r="N133" s="178"/>
      <c r="O133" s="178"/>
      <c r="P133" s="178"/>
      <c r="Q133" s="178"/>
      <c r="R133" s="178"/>
      <c r="S133" s="178"/>
      <c r="T133" s="178"/>
      <c r="U133" s="178"/>
      <c r="V133" s="178"/>
      <c r="W133" s="178"/>
      <c r="X133" s="178"/>
      <c r="Y133" s="178"/>
      <c r="Z133" s="178"/>
    </row>
    <row r="134" spans="1:33" ht="15.75" customHeight="1">
      <c r="A134" s="201" t="s">
        <v>611</v>
      </c>
      <c r="B134" s="201" t="s">
        <v>1144</v>
      </c>
      <c r="C134" s="195" t="s">
        <v>1145</v>
      </c>
      <c r="D134" s="195" t="s">
        <v>37</v>
      </c>
      <c r="E134" s="220">
        <v>45637</v>
      </c>
      <c r="F134" s="220">
        <v>45637</v>
      </c>
      <c r="G134" s="220">
        <v>45642</v>
      </c>
      <c r="H134" s="220">
        <v>45642</v>
      </c>
      <c r="I134" s="198">
        <f ca="1">IF(ISBLANK(H134), NETWORKDAYS(F134, TODAY(),fESTIVOS!$A$1:$A$18), NETWORKDAYS(F134, H134, fESTIVOS!$A$1:$A$18))</f>
        <v>4</v>
      </c>
      <c r="J134" s="220">
        <v>45642</v>
      </c>
      <c r="K134" s="220">
        <v>45644</v>
      </c>
      <c r="L134" s="219" t="s">
        <v>1146</v>
      </c>
      <c r="M134" s="178"/>
      <c r="N134" s="178"/>
      <c r="O134" s="178"/>
      <c r="P134" s="178"/>
      <c r="Q134" s="178"/>
      <c r="R134" s="178"/>
      <c r="S134" s="178"/>
      <c r="T134" s="178"/>
      <c r="U134" s="178"/>
      <c r="V134" s="178"/>
      <c r="W134" s="178"/>
      <c r="X134" s="178"/>
      <c r="Y134" s="178"/>
      <c r="Z134" s="178"/>
      <c r="AA134" s="178"/>
      <c r="AB134" s="178"/>
      <c r="AC134" s="178"/>
      <c r="AD134" s="178"/>
      <c r="AE134" s="178"/>
      <c r="AF134" s="178"/>
      <c r="AG134" s="178"/>
    </row>
    <row r="135" spans="1:33" ht="15.75" customHeight="1">
      <c r="A135" s="201" t="s">
        <v>611</v>
      </c>
      <c r="B135" s="201" t="s">
        <v>1144</v>
      </c>
      <c r="C135" s="195" t="s">
        <v>1147</v>
      </c>
      <c r="D135" s="195" t="s">
        <v>37</v>
      </c>
      <c r="E135" s="220">
        <v>45637</v>
      </c>
      <c r="F135" s="220">
        <v>45638</v>
      </c>
      <c r="G135" s="220">
        <v>45642</v>
      </c>
      <c r="H135" s="220">
        <v>45642</v>
      </c>
      <c r="I135" s="198">
        <f ca="1">IF(ISBLANK(H135), NETWORKDAYS(F135, TODAY(),fESTIVOS!$A$1:$A$18), NETWORKDAYS(F135, H135, fESTIVOS!$A$1:$A$18))</f>
        <v>3</v>
      </c>
      <c r="J135" s="220">
        <v>45642</v>
      </c>
      <c r="K135" s="220">
        <v>45644</v>
      </c>
      <c r="L135" s="219" t="s">
        <v>1148</v>
      </c>
      <c r="M135" s="178"/>
      <c r="N135" s="178"/>
      <c r="O135" s="178"/>
      <c r="P135" s="178"/>
      <c r="Q135" s="178"/>
      <c r="R135" s="178"/>
      <c r="S135" s="178"/>
      <c r="T135" s="178"/>
      <c r="U135" s="178"/>
      <c r="V135" s="178"/>
      <c r="W135" s="178"/>
      <c r="X135" s="178"/>
      <c r="Y135" s="178"/>
      <c r="Z135" s="178"/>
      <c r="AA135" s="178"/>
      <c r="AB135" s="178"/>
      <c r="AC135" s="178"/>
      <c r="AD135" s="178"/>
      <c r="AE135" s="178"/>
      <c r="AF135" s="178"/>
      <c r="AG135" s="178"/>
    </row>
    <row r="136" spans="1:33" ht="15.75" customHeight="1">
      <c r="A136" s="412" t="s">
        <v>869</v>
      </c>
      <c r="B136" s="193" t="s">
        <v>1149</v>
      </c>
      <c r="C136" s="187"/>
      <c r="D136" s="189" t="s">
        <v>37</v>
      </c>
      <c r="E136" s="188">
        <v>45644</v>
      </c>
      <c r="F136" s="188">
        <v>45644</v>
      </c>
      <c r="G136" s="188"/>
      <c r="H136" s="188">
        <v>45644</v>
      </c>
      <c r="I136" s="190">
        <f ca="1">IF(ISBLANK(H136), NETWORKDAYS(F136, TODAY(),fESTIVOS!$A$1:$A$18), NETWORKDAYS(F136, H136, fESTIVOS!$A$1:$A$18))</f>
        <v>1</v>
      </c>
      <c r="J136" s="188"/>
      <c r="K136" s="188"/>
      <c r="L136" s="191"/>
      <c r="M136" s="413"/>
      <c r="N136" s="178"/>
      <c r="O136" s="178"/>
      <c r="P136" s="178"/>
      <c r="Q136" s="178"/>
      <c r="R136" s="178"/>
      <c r="S136" s="178"/>
      <c r="T136" s="178"/>
      <c r="U136" s="178"/>
      <c r="V136" s="178"/>
      <c r="W136" s="178"/>
      <c r="X136" s="178"/>
      <c r="Y136" s="178"/>
      <c r="Z136" s="178"/>
      <c r="AA136" s="223"/>
      <c r="AB136" s="223"/>
      <c r="AC136" s="223"/>
      <c r="AD136" s="223"/>
      <c r="AE136" s="223"/>
      <c r="AF136" s="223"/>
      <c r="AG136" s="223"/>
    </row>
    <row r="137" spans="1:33" ht="15.75" customHeight="1">
      <c r="A137" s="415" t="s">
        <v>869</v>
      </c>
      <c r="B137" s="415" t="s">
        <v>999</v>
      </c>
      <c r="C137" s="557" t="s">
        <v>1150</v>
      </c>
      <c r="D137" s="420" t="s">
        <v>989</v>
      </c>
      <c r="E137" s="489">
        <v>45643</v>
      </c>
      <c r="F137" s="489">
        <v>45643</v>
      </c>
      <c r="G137" s="421"/>
      <c r="H137" s="421"/>
      <c r="I137" s="422">
        <f ca="1">IF(ISBLANK(H137), NETWORKDAYS(F137, TODAY(),fESTIVOS!$A$1:$A$18), NETWORKDAYS(F137, H137, fESTIVOS!$A$1:$A$18))</f>
        <v>322</v>
      </c>
      <c r="J137" s="489">
        <v>45643</v>
      </c>
      <c r="K137" s="421">
        <v>45644</v>
      </c>
      <c r="L137" s="562" t="s">
        <v>1151</v>
      </c>
      <c r="M137" s="448"/>
      <c r="N137" s="184"/>
      <c r="O137" s="184"/>
      <c r="P137" s="184"/>
      <c r="Q137" s="184"/>
      <c r="R137" s="184"/>
      <c r="S137" s="184"/>
      <c r="T137" s="184"/>
      <c r="U137" s="184"/>
      <c r="V137" s="184"/>
      <c r="W137" s="184"/>
      <c r="X137" s="184"/>
      <c r="Y137" s="184"/>
      <c r="Z137" s="184"/>
    </row>
    <row r="138" spans="1:33" ht="15.75" customHeight="1">
      <c r="A138" s="415" t="s">
        <v>869</v>
      </c>
      <c r="B138" s="418"/>
      <c r="C138" s="557" t="s">
        <v>1152</v>
      </c>
      <c r="D138" s="420" t="s">
        <v>989</v>
      </c>
      <c r="E138" s="489">
        <v>45643</v>
      </c>
      <c r="F138" s="489">
        <v>45643</v>
      </c>
      <c r="G138" s="421"/>
      <c r="H138" s="421"/>
      <c r="I138" s="422">
        <f ca="1">IF(ISBLANK(H138), NETWORKDAYS(F138, TODAY(),fESTIVOS!$A$1:$A$18), NETWORKDAYS(F138, H138, fESTIVOS!$A$1:$A$18))</f>
        <v>322</v>
      </c>
      <c r="J138" s="489">
        <v>45643</v>
      </c>
      <c r="K138" s="421">
        <v>45644</v>
      </c>
      <c r="L138" s="449" t="s">
        <v>1151</v>
      </c>
      <c r="M138" s="448"/>
      <c r="N138" s="184"/>
      <c r="O138" s="184"/>
      <c r="P138" s="184"/>
      <c r="Q138" s="184"/>
      <c r="R138" s="184"/>
      <c r="S138" s="184"/>
      <c r="T138" s="184"/>
      <c r="U138" s="184"/>
      <c r="V138" s="184"/>
      <c r="W138" s="184"/>
      <c r="X138" s="184"/>
      <c r="Y138" s="184"/>
      <c r="Z138" s="184"/>
    </row>
    <row r="139" spans="1:33" ht="15.75" customHeight="1">
      <c r="A139" s="515" t="s">
        <v>596</v>
      </c>
      <c r="B139" s="520" t="s">
        <v>1153</v>
      </c>
      <c r="C139" s="515"/>
      <c r="D139" s="528" t="s">
        <v>989</v>
      </c>
      <c r="E139" s="522">
        <v>45644</v>
      </c>
      <c r="F139" s="522">
        <v>45645</v>
      </c>
      <c r="G139" s="523"/>
      <c r="H139" s="524">
        <v>45645</v>
      </c>
      <c r="I139" s="190">
        <f ca="1">IF(ISBLANK(H139), NETWORKDAYS(F139, TODAY(),fESTIVOS!$A$1:$A$18), NETWORKDAYS(F139, H139, fESTIVOS!$A$1:$A$18))</f>
        <v>1</v>
      </c>
      <c r="J139" s="524">
        <v>45645</v>
      </c>
      <c r="K139" s="524">
        <v>45645</v>
      </c>
      <c r="L139" s="525"/>
      <c r="M139" s="550"/>
      <c r="N139" s="550"/>
      <c r="O139" s="550"/>
      <c r="P139" s="550"/>
      <c r="Q139" s="550"/>
      <c r="R139" s="550"/>
      <c r="S139" s="550"/>
      <c r="T139" s="550"/>
      <c r="U139" s="550"/>
      <c r="V139" s="550"/>
      <c r="W139" s="550"/>
      <c r="X139" s="550"/>
      <c r="Y139" s="550"/>
      <c r="Z139" s="550"/>
      <c r="AA139" s="551"/>
      <c r="AB139" s="551"/>
      <c r="AC139" s="551"/>
      <c r="AD139" s="551"/>
      <c r="AE139" s="551"/>
      <c r="AF139" s="551"/>
      <c r="AG139" s="551"/>
    </row>
    <row r="140" spans="1:33" ht="15.75" customHeight="1">
      <c r="A140" s="177" t="s">
        <v>596</v>
      </c>
      <c r="B140" s="415" t="s">
        <v>1154</v>
      </c>
      <c r="C140" s="177" t="s">
        <v>1155</v>
      </c>
      <c r="D140" s="410" t="s">
        <v>989</v>
      </c>
      <c r="E140" s="188">
        <v>45635</v>
      </c>
      <c r="F140" s="188">
        <v>45636</v>
      </c>
      <c r="G140" s="188">
        <v>45637</v>
      </c>
      <c r="H140" s="518">
        <v>45639</v>
      </c>
      <c r="I140" s="190">
        <f ca="1">IF(ISBLANK(H140), NETWORKDAYS(F140, TODAY(),fESTIVOS!$A$1:$A$18), NETWORKDAYS(F140, H140, fESTIVOS!$A$1:$A$18))</f>
        <v>4</v>
      </c>
      <c r="J140" s="518"/>
      <c r="K140" s="518"/>
      <c r="L140" s="411" t="s">
        <v>1156</v>
      </c>
      <c r="M140" s="178"/>
      <c r="N140" s="178"/>
      <c r="O140" s="178"/>
      <c r="P140" s="178"/>
      <c r="Q140" s="178"/>
      <c r="R140" s="178"/>
      <c r="S140" s="178"/>
      <c r="T140" s="178"/>
      <c r="U140" s="178"/>
      <c r="V140" s="178"/>
      <c r="W140" s="178"/>
      <c r="X140" s="178"/>
      <c r="Y140" s="178"/>
      <c r="Z140" s="178"/>
    </row>
    <row r="141" spans="1:33" ht="15.75" customHeight="1">
      <c r="A141" s="177" t="s">
        <v>596</v>
      </c>
      <c r="B141" s="418"/>
      <c r="C141" s="412" t="s">
        <v>1157</v>
      </c>
      <c r="D141" s="412" t="s">
        <v>989</v>
      </c>
      <c r="E141" s="188">
        <v>45636</v>
      </c>
      <c r="F141" s="188">
        <v>45636</v>
      </c>
      <c r="G141" s="188"/>
      <c r="H141" s="188">
        <v>45636</v>
      </c>
      <c r="I141" s="190">
        <f ca="1">IF(ISBLANK(H141), NETWORKDAYS(F141, TODAY(),fESTIVOS!$A$1:$A$18), NETWORKDAYS(F141, H141, fESTIVOS!$A$1:$A$18))</f>
        <v>1</v>
      </c>
      <c r="J141" s="518"/>
      <c r="K141" s="188">
        <v>45636</v>
      </c>
      <c r="L141" s="563" t="s">
        <v>1158</v>
      </c>
      <c r="M141" s="178"/>
      <c r="N141" s="178"/>
      <c r="O141" s="178"/>
      <c r="P141" s="178"/>
      <c r="Q141" s="178"/>
      <c r="R141" s="178"/>
      <c r="S141" s="178"/>
      <c r="T141" s="178"/>
      <c r="U141" s="178"/>
      <c r="V141" s="178"/>
      <c r="W141" s="178"/>
      <c r="X141" s="178"/>
      <c r="Y141" s="178"/>
      <c r="Z141" s="178"/>
    </row>
    <row r="142" spans="1:33" ht="15.75" customHeight="1">
      <c r="A142" s="177" t="s">
        <v>596</v>
      </c>
      <c r="B142" s="418"/>
      <c r="C142" s="177" t="s">
        <v>1159</v>
      </c>
      <c r="D142" s="412" t="s">
        <v>989</v>
      </c>
      <c r="E142" s="188">
        <v>45637</v>
      </c>
      <c r="F142" s="188">
        <v>45636</v>
      </c>
      <c r="G142" s="188"/>
      <c r="H142" s="518"/>
      <c r="I142" s="190">
        <f ca="1">IF(ISBLANK(H142), NETWORKDAYS(F142, TODAY(),fESTIVOS!$A$1:$A$18), NETWORKDAYS(F142, H142, fESTIVOS!$A$1:$A$18))</f>
        <v>327</v>
      </c>
      <c r="J142" s="518"/>
      <c r="K142" s="518"/>
      <c r="L142" s="411" t="s">
        <v>1160</v>
      </c>
      <c r="M142" s="178"/>
      <c r="N142" s="178"/>
      <c r="O142" s="178"/>
      <c r="P142" s="178"/>
      <c r="Q142" s="178"/>
      <c r="R142" s="178"/>
      <c r="S142" s="178"/>
      <c r="T142" s="178"/>
      <c r="U142" s="178"/>
      <c r="V142" s="178"/>
      <c r="W142" s="178"/>
      <c r="X142" s="178"/>
      <c r="Y142" s="178"/>
      <c r="Z142" s="178"/>
    </row>
    <row r="143" spans="1:33" ht="15.75" customHeight="1">
      <c r="A143" s="177" t="s">
        <v>596</v>
      </c>
      <c r="B143" s="362"/>
      <c r="C143" s="394" t="s">
        <v>1161</v>
      </c>
      <c r="D143" s="412" t="s">
        <v>989</v>
      </c>
      <c r="E143" s="188">
        <v>45637</v>
      </c>
      <c r="F143" s="188">
        <v>45636</v>
      </c>
      <c r="G143" s="188"/>
      <c r="H143" s="518">
        <v>45639</v>
      </c>
      <c r="I143" s="190">
        <f ca="1">IF(ISBLANK(H143), NETWORKDAYS(F143, TODAY(),fESTIVOS!$A$1:$A$18), NETWORKDAYS(F143, H143, fESTIVOS!$A$1:$A$18))</f>
        <v>4</v>
      </c>
      <c r="J143" s="518"/>
      <c r="K143" s="518">
        <v>45639</v>
      </c>
      <c r="L143" s="411" t="s">
        <v>1162</v>
      </c>
      <c r="M143" s="178"/>
      <c r="N143" s="178"/>
      <c r="O143" s="178"/>
      <c r="P143" s="178"/>
      <c r="Q143" s="178"/>
      <c r="R143" s="178"/>
      <c r="S143" s="178"/>
      <c r="T143" s="178"/>
      <c r="U143" s="178"/>
      <c r="V143" s="178"/>
      <c r="W143" s="178"/>
      <c r="X143" s="178"/>
      <c r="Y143" s="178"/>
      <c r="Z143" s="178"/>
    </row>
    <row r="144" spans="1:33" ht="15.75" customHeight="1">
      <c r="A144" s="201" t="s">
        <v>611</v>
      </c>
      <c r="B144" s="201" t="s">
        <v>1163</v>
      </c>
      <c r="C144" s="216"/>
      <c r="D144" s="216" t="s">
        <v>9</v>
      </c>
      <c r="E144" s="202">
        <v>45644</v>
      </c>
      <c r="F144" s="202">
        <v>45644</v>
      </c>
      <c r="G144" s="201"/>
      <c r="H144" s="216"/>
      <c r="I144" s="198">
        <f ca="1">IF(ISBLANK(H144), NETWORKDAYS(F144, TODAY(),fESTIVOS!$A$1:$A$18), NETWORKDAYS(F144, H144, fESTIVOS!$A$1:$A$18))</f>
        <v>321</v>
      </c>
      <c r="J144" s="216"/>
      <c r="K144" s="216"/>
      <c r="L144" s="501" t="s">
        <v>1164</v>
      </c>
      <c r="M144" s="413"/>
      <c r="N144" s="178"/>
      <c r="O144" s="178"/>
      <c r="P144" s="178"/>
      <c r="Q144" s="178"/>
      <c r="R144" s="178"/>
      <c r="S144" s="178"/>
      <c r="T144" s="178"/>
      <c r="U144" s="178"/>
      <c r="V144" s="178"/>
      <c r="W144" s="178"/>
      <c r="X144" s="178"/>
      <c r="Y144" s="178"/>
      <c r="Z144" s="178"/>
      <c r="AA144" s="223"/>
      <c r="AB144" s="223"/>
      <c r="AC144" s="223"/>
      <c r="AD144" s="223"/>
      <c r="AE144" s="223"/>
      <c r="AF144" s="223"/>
      <c r="AG144" s="223"/>
    </row>
    <row r="145" spans="1:33" ht="15.75" customHeight="1">
      <c r="A145" s="210" t="s">
        <v>596</v>
      </c>
      <c r="B145" s="201" t="s">
        <v>1165</v>
      </c>
      <c r="C145" s="441"/>
      <c r="D145" s="442" t="s">
        <v>37</v>
      </c>
      <c r="E145" s="220">
        <v>45653</v>
      </c>
      <c r="F145" s="220">
        <v>45653</v>
      </c>
      <c r="G145" s="220"/>
      <c r="H145" s="220">
        <v>45653</v>
      </c>
      <c r="I145" s="214">
        <f ca="1">IF(ISBLANK(H145), NETWORKDAYS(F145, TODAY(),fESTIVOS!$A$1:$A$18), NETWORKDAYS(F145, H145, fESTIVOS!$A$1:$A$18))</f>
        <v>1</v>
      </c>
      <c r="J145" s="220"/>
      <c r="K145" s="220"/>
      <c r="L145" s="443"/>
      <c r="M145" s="178"/>
      <c r="N145" s="178"/>
      <c r="O145" s="178"/>
      <c r="P145" s="178"/>
      <c r="Q145" s="178"/>
      <c r="R145" s="178"/>
      <c r="S145" s="178"/>
      <c r="T145" s="178"/>
      <c r="U145" s="178"/>
      <c r="V145" s="178"/>
      <c r="W145" s="178"/>
      <c r="X145" s="178"/>
      <c r="Y145" s="178"/>
      <c r="Z145" s="178"/>
    </row>
    <row r="146" spans="1:33" ht="15.75" customHeight="1">
      <c r="A146" s="210" t="s">
        <v>596</v>
      </c>
      <c r="B146" s="201" t="s">
        <v>1166</v>
      </c>
      <c r="C146" s="441"/>
      <c r="D146" s="195" t="s">
        <v>989</v>
      </c>
      <c r="E146" s="220">
        <v>45653</v>
      </c>
      <c r="F146" s="220">
        <v>45653</v>
      </c>
      <c r="G146" s="220"/>
      <c r="H146" s="220">
        <v>45653</v>
      </c>
      <c r="I146" s="214">
        <f ca="1">IF(ISBLANK(H146), NETWORKDAYS(F146, TODAY(),fESTIVOS!$A$1:$A$18), NETWORKDAYS(F146, H146, fESTIVOS!$A$1:$A$18))</f>
        <v>1</v>
      </c>
      <c r="J146" s="220"/>
      <c r="K146" s="220">
        <v>45653</v>
      </c>
      <c r="L146" s="443" t="s">
        <v>1167</v>
      </c>
      <c r="M146" s="178"/>
      <c r="N146" s="178"/>
      <c r="O146" s="178"/>
      <c r="P146" s="178"/>
      <c r="Q146" s="178"/>
      <c r="R146" s="178"/>
      <c r="S146" s="178"/>
      <c r="T146" s="178"/>
      <c r="U146" s="178"/>
      <c r="V146" s="178"/>
      <c r="W146" s="178"/>
      <c r="X146" s="178"/>
      <c r="Y146" s="178"/>
      <c r="Z146" s="178"/>
    </row>
    <row r="147" spans="1:33" ht="15.75" customHeight="1">
      <c r="A147" s="201" t="s">
        <v>611</v>
      </c>
      <c r="B147" s="201" t="s">
        <v>1168</v>
      </c>
      <c r="C147" s="195"/>
      <c r="D147" s="195" t="s">
        <v>37</v>
      </c>
      <c r="E147" s="220">
        <v>45660</v>
      </c>
      <c r="F147" s="220">
        <v>45660</v>
      </c>
      <c r="G147" s="442"/>
      <c r="H147" s="220">
        <v>45660</v>
      </c>
      <c r="I147" s="198">
        <f ca="1">IF(ISBLANK(H147), NETWORKDAYS(F147, TODAY(),fESTIVOS!$A$1:$A$18), NETWORKDAYS(F147, H147, fESTIVOS!$A$1:$A$18))</f>
        <v>1</v>
      </c>
      <c r="J147" s="442"/>
      <c r="K147" s="442"/>
      <c r="L147" s="219"/>
      <c r="M147" s="178"/>
      <c r="N147" s="178"/>
      <c r="O147" s="178"/>
      <c r="P147" s="178"/>
      <c r="Q147" s="178"/>
      <c r="R147" s="178"/>
      <c r="S147" s="178"/>
      <c r="T147" s="178"/>
      <c r="U147" s="178"/>
      <c r="V147" s="178"/>
      <c r="W147" s="178"/>
      <c r="X147" s="178"/>
      <c r="Y147" s="178"/>
      <c r="Z147" s="178"/>
      <c r="AA147" s="178"/>
      <c r="AB147" s="178"/>
      <c r="AC147" s="178"/>
      <c r="AD147" s="178"/>
      <c r="AE147" s="178"/>
      <c r="AF147" s="178"/>
      <c r="AG147" s="178"/>
    </row>
    <row r="148" spans="1:33" ht="15.75" customHeight="1">
      <c r="A148" s="201" t="s">
        <v>611</v>
      </c>
      <c r="B148" s="201" t="s">
        <v>1169</v>
      </c>
      <c r="C148" s="195"/>
      <c r="D148" s="195" t="s">
        <v>37</v>
      </c>
      <c r="E148" s="220">
        <v>45650</v>
      </c>
      <c r="F148" s="220">
        <v>45650</v>
      </c>
      <c r="G148" s="442"/>
      <c r="H148" s="220">
        <v>45656</v>
      </c>
      <c r="I148" s="198">
        <f ca="1">IF(ISBLANK(H148), NETWORKDAYS(F148, TODAY(),fESTIVOS!$A$1:$A$18), NETWORKDAYS(F148, H148, fESTIVOS!$A$1:$A$18))</f>
        <v>4</v>
      </c>
      <c r="J148" s="442"/>
      <c r="K148" s="442"/>
      <c r="L148" s="219"/>
      <c r="M148" s="178"/>
      <c r="N148" s="178"/>
      <c r="O148" s="178"/>
      <c r="P148" s="178"/>
      <c r="Q148" s="178"/>
      <c r="R148" s="178"/>
      <c r="S148" s="178"/>
      <c r="T148" s="178"/>
      <c r="U148" s="178"/>
      <c r="V148" s="178"/>
      <c r="W148" s="178"/>
      <c r="X148" s="178"/>
      <c r="Y148" s="178"/>
      <c r="Z148" s="178"/>
      <c r="AA148" s="178"/>
      <c r="AB148" s="178"/>
      <c r="AC148" s="178"/>
      <c r="AD148" s="178"/>
      <c r="AE148" s="178"/>
      <c r="AF148" s="178"/>
      <c r="AG148" s="178"/>
    </row>
    <row r="149" spans="1:33" ht="15.75" customHeight="1">
      <c r="A149" s="201" t="s">
        <v>611</v>
      </c>
      <c r="B149" s="201" t="s">
        <v>1170</v>
      </c>
      <c r="C149" s="195"/>
      <c r="D149" s="195" t="s">
        <v>37</v>
      </c>
      <c r="E149" s="220">
        <v>45656</v>
      </c>
      <c r="F149" s="220">
        <v>45659</v>
      </c>
      <c r="G149" s="442"/>
      <c r="H149" s="220">
        <v>45659</v>
      </c>
      <c r="I149" s="198">
        <f ca="1">IF(ISBLANK(H149), NETWORKDAYS(F149, TODAY(),fESTIVOS!$A$1:$A$18), NETWORKDAYS(F149, H149, fESTIVOS!$A$1:$A$18))</f>
        <v>1</v>
      </c>
      <c r="J149" s="442"/>
      <c r="K149" s="442"/>
      <c r="L149" s="219" t="s">
        <v>1171</v>
      </c>
      <c r="M149" s="178"/>
      <c r="N149" s="178"/>
      <c r="O149" s="178"/>
      <c r="P149" s="178"/>
      <c r="Q149" s="178"/>
      <c r="R149" s="178"/>
      <c r="S149" s="178"/>
      <c r="T149" s="178"/>
      <c r="U149" s="178"/>
      <c r="V149" s="178"/>
      <c r="W149" s="178"/>
      <c r="X149" s="178"/>
      <c r="Y149" s="178"/>
      <c r="Z149" s="178"/>
      <c r="AA149" s="178"/>
      <c r="AB149" s="178"/>
      <c r="AC149" s="178"/>
      <c r="AD149" s="178"/>
      <c r="AE149" s="178"/>
      <c r="AF149" s="178"/>
      <c r="AG149" s="178"/>
    </row>
    <row r="150" spans="1:33" ht="15.75" customHeight="1">
      <c r="A150" s="201" t="s">
        <v>603</v>
      </c>
      <c r="B150" s="564" t="s">
        <v>1172</v>
      </c>
      <c r="C150" s="565"/>
      <c r="D150" s="566" t="s">
        <v>37</v>
      </c>
      <c r="E150" s="567">
        <v>45639</v>
      </c>
      <c r="F150" s="567">
        <v>45642</v>
      </c>
      <c r="G150" s="565"/>
      <c r="H150" s="567">
        <v>45653</v>
      </c>
      <c r="I150" s="499">
        <f ca="1">IF(ISBLANK(H150), NETWORKDAYS(F150, TODAY(),fESTIVOS!$A$1:$A$18), NETWORKDAYS(F150, H150, fESTIVOS!$A$1:$A$18))</f>
        <v>9</v>
      </c>
      <c r="J150" s="565"/>
      <c r="K150" s="565"/>
      <c r="L150" s="568" t="s">
        <v>1173</v>
      </c>
      <c r="M150" s="209"/>
      <c r="N150" s="209"/>
      <c r="O150" s="209"/>
      <c r="P150" s="209"/>
      <c r="Q150" s="209"/>
      <c r="R150" s="209"/>
      <c r="S150" s="209"/>
      <c r="T150" s="209"/>
      <c r="U150" s="209"/>
      <c r="V150" s="209"/>
      <c r="W150" s="209"/>
      <c r="X150" s="209"/>
      <c r="Y150" s="209"/>
      <c r="Z150" s="209"/>
      <c r="AA150" s="209"/>
      <c r="AB150" s="209"/>
      <c r="AC150" s="209"/>
      <c r="AD150" s="209"/>
      <c r="AE150" s="209"/>
      <c r="AF150" s="209"/>
      <c r="AG150" s="209"/>
    </row>
    <row r="151" spans="1:33" ht="15.75" customHeight="1">
      <c r="A151" s="216" t="s">
        <v>621</v>
      </c>
      <c r="B151" s="569" t="s">
        <v>1174</v>
      </c>
      <c r="C151" s="218"/>
      <c r="D151" s="442" t="s">
        <v>37</v>
      </c>
      <c r="E151" s="220">
        <v>45656</v>
      </c>
      <c r="F151" s="220">
        <v>45656</v>
      </c>
      <c r="G151" s="218"/>
      <c r="H151" s="220">
        <v>45656</v>
      </c>
      <c r="I151" s="198">
        <f ca="1">IF(ISBLANK(H151), NETWORKDAYS(F151, TODAY(),fESTIVOS!$A$1:$A$18), NETWORKDAYS(F151, H151, fESTIVOS!$A$1:$A$18))</f>
        <v>1</v>
      </c>
      <c r="J151" s="218"/>
      <c r="K151" s="220">
        <v>45656</v>
      </c>
      <c r="L151" s="218"/>
      <c r="M151" s="223"/>
      <c r="N151" s="223"/>
      <c r="O151" s="223"/>
      <c r="P151" s="223"/>
      <c r="Q151" s="223"/>
      <c r="R151" s="223"/>
      <c r="S151" s="223"/>
      <c r="T151" s="223"/>
      <c r="U151" s="223"/>
      <c r="V151" s="223"/>
      <c r="W151" s="223"/>
      <c r="X151" s="223"/>
      <c r="Y151" s="223"/>
      <c r="Z151" s="223"/>
    </row>
    <row r="152" spans="1:33" ht="15.75" customHeight="1">
      <c r="A152" s="201" t="s">
        <v>611</v>
      </c>
      <c r="B152" s="201" t="s">
        <v>1175</v>
      </c>
      <c r="C152" s="195" t="s">
        <v>1176</v>
      </c>
      <c r="D152" s="195" t="s">
        <v>37</v>
      </c>
      <c r="E152" s="220">
        <v>45664</v>
      </c>
      <c r="F152" s="220">
        <v>45664</v>
      </c>
      <c r="G152" s="442"/>
      <c r="H152" s="220">
        <v>45664</v>
      </c>
      <c r="I152" s="198">
        <f ca="1">IF(ISBLANK(H152), NETWORKDAYS(F152, TODAY(),fESTIVOS!$A$1:$A$18), NETWORKDAYS(F152, H152, fESTIVOS!$A$1:$A$18))</f>
        <v>1</v>
      </c>
      <c r="J152" s="442"/>
      <c r="K152" s="442"/>
      <c r="L152" s="219" t="s">
        <v>1177</v>
      </c>
    </row>
    <row r="153" spans="1:33" ht="15.75" customHeight="1">
      <c r="A153" s="201" t="s">
        <v>611</v>
      </c>
      <c r="B153" s="217" t="s">
        <v>1178</v>
      </c>
      <c r="C153" s="195" t="s">
        <v>1179</v>
      </c>
      <c r="D153" s="195" t="s">
        <v>37</v>
      </c>
      <c r="E153" s="220">
        <v>45656</v>
      </c>
      <c r="F153" s="220">
        <v>45665</v>
      </c>
      <c r="G153" s="442"/>
      <c r="H153" s="220">
        <v>45665</v>
      </c>
      <c r="I153" s="198">
        <f ca="1">IF(ISBLANK(H153), NETWORKDAYS(F153, TODAY(),fESTIVOS!$A$1:$A$18), NETWORKDAYS(F153, H153, fESTIVOS!$A$1:$A$18))</f>
        <v>1</v>
      </c>
      <c r="J153" s="220">
        <v>45665</v>
      </c>
      <c r="K153" s="442"/>
      <c r="L153" s="219"/>
      <c r="M153" s="178"/>
      <c r="N153" s="178"/>
      <c r="O153" s="178"/>
      <c r="P153" s="178"/>
      <c r="Q153" s="178"/>
      <c r="R153" s="178"/>
      <c r="S153" s="178"/>
      <c r="T153" s="178"/>
      <c r="U153" s="178"/>
      <c r="V153" s="178"/>
      <c r="W153" s="178"/>
      <c r="X153" s="178"/>
      <c r="Y153" s="178"/>
      <c r="Z153" s="178"/>
      <c r="AA153" s="178"/>
      <c r="AB153" s="178"/>
      <c r="AC153" s="178"/>
      <c r="AD153" s="178"/>
      <c r="AE153" s="178"/>
      <c r="AF153" s="178"/>
      <c r="AG153" s="178"/>
    </row>
    <row r="154" spans="1:33" ht="15.75" customHeight="1">
      <c r="A154" s="201" t="s">
        <v>611</v>
      </c>
      <c r="B154" s="362"/>
      <c r="C154" s="195" t="s">
        <v>1180</v>
      </c>
      <c r="D154" s="195" t="s">
        <v>37</v>
      </c>
      <c r="E154" s="220">
        <v>45656</v>
      </c>
      <c r="F154" s="220">
        <v>45665</v>
      </c>
      <c r="G154" s="442"/>
      <c r="H154" s="220">
        <v>45665</v>
      </c>
      <c r="I154" s="198">
        <f ca="1">IF(ISBLANK(H154), NETWORKDAYS(F154, TODAY(),fESTIVOS!$A$1:$A$18), NETWORKDAYS(F154, H154, fESTIVOS!$A$1:$A$18))</f>
        <v>1</v>
      </c>
      <c r="J154" s="220">
        <v>45665</v>
      </c>
      <c r="K154" s="442"/>
      <c r="L154" s="219"/>
      <c r="M154" s="178"/>
      <c r="N154" s="178"/>
      <c r="O154" s="178"/>
      <c r="P154" s="178"/>
      <c r="Q154" s="178"/>
      <c r="R154" s="178"/>
      <c r="S154" s="178"/>
      <c r="T154" s="178"/>
      <c r="U154" s="178"/>
      <c r="V154" s="178"/>
      <c r="W154" s="178"/>
      <c r="X154" s="178"/>
      <c r="Y154" s="178"/>
      <c r="Z154" s="178"/>
      <c r="AA154" s="178"/>
      <c r="AB154" s="178"/>
      <c r="AC154" s="178"/>
      <c r="AD154" s="178"/>
      <c r="AE154" s="178"/>
      <c r="AF154" s="178"/>
      <c r="AG154" s="178"/>
    </row>
    <row r="155" spans="1:33" ht="15.75" customHeight="1">
      <c r="A155" s="201" t="s">
        <v>869</v>
      </c>
      <c r="B155" s="194" t="s">
        <v>1181</v>
      </c>
      <c r="C155" s="219"/>
      <c r="D155" s="442" t="s">
        <v>37</v>
      </c>
      <c r="E155" s="220">
        <v>45666</v>
      </c>
      <c r="F155" s="220">
        <v>45666</v>
      </c>
      <c r="G155" s="220"/>
      <c r="H155" s="220">
        <v>45666</v>
      </c>
      <c r="I155" s="198">
        <f ca="1">IF(ISBLANK(H155), NETWORKDAYS(F155, TODAY(),fESTIVOS!$A$1:$A$18), NETWORKDAYS(F155, H155, fESTIVOS!$A$1:$A$18))</f>
        <v>1</v>
      </c>
      <c r="J155" s="220"/>
      <c r="K155" s="220"/>
      <c r="L155" s="443"/>
      <c r="M155" s="570"/>
      <c r="N155" s="375"/>
      <c r="O155" s="376"/>
      <c r="P155" s="375"/>
      <c r="Q155" s="376"/>
      <c r="R155" s="375"/>
      <c r="S155" s="376"/>
      <c r="T155" s="375"/>
      <c r="U155" s="376"/>
      <c r="V155" s="375"/>
      <c r="W155" s="376"/>
      <c r="X155" s="375"/>
      <c r="Y155" s="376"/>
      <c r="Z155" s="375"/>
      <c r="AA155" s="376"/>
      <c r="AB155" s="375"/>
      <c r="AC155" s="376"/>
      <c r="AD155" s="375"/>
      <c r="AE155" s="376"/>
      <c r="AF155" s="375"/>
      <c r="AG155" s="376"/>
    </row>
    <row r="156" spans="1:33" ht="15.75" customHeight="1">
      <c r="A156" s="201" t="s">
        <v>869</v>
      </c>
      <c r="B156" s="571" t="s">
        <v>1182</v>
      </c>
      <c r="C156" s="219" t="s">
        <v>1183</v>
      </c>
      <c r="D156" s="195" t="s">
        <v>37</v>
      </c>
      <c r="E156" s="220">
        <v>45664</v>
      </c>
      <c r="F156" s="220">
        <v>45664</v>
      </c>
      <c r="G156" s="220"/>
      <c r="H156" s="220">
        <v>45667</v>
      </c>
      <c r="I156" s="198">
        <f ca="1">IF(ISBLANK(H156), NETWORKDAYS(F156, TODAY(),fESTIVOS!$A$1:$A$18), NETWORKDAYS(F156, H156, fESTIVOS!$A$1:$A$18))</f>
        <v>4</v>
      </c>
      <c r="J156" s="220"/>
      <c r="K156" s="220"/>
      <c r="L156" s="443" t="s">
        <v>1184</v>
      </c>
      <c r="M156" s="413"/>
      <c r="N156" s="178"/>
      <c r="O156" s="178"/>
      <c r="P156" s="178"/>
      <c r="Q156" s="178"/>
      <c r="R156" s="178"/>
      <c r="S156" s="178"/>
      <c r="T156" s="178"/>
      <c r="U156" s="178"/>
      <c r="V156" s="178"/>
      <c r="W156" s="178"/>
      <c r="X156" s="178"/>
      <c r="Y156" s="178"/>
      <c r="Z156" s="178"/>
    </row>
    <row r="157" spans="1:33" ht="15.75" customHeight="1">
      <c r="A157" s="201" t="s">
        <v>611</v>
      </c>
      <c r="B157" s="543" t="s">
        <v>1185</v>
      </c>
      <c r="C157" s="572"/>
      <c r="D157" s="195" t="s">
        <v>598</v>
      </c>
      <c r="E157" s="220">
        <v>45609</v>
      </c>
      <c r="F157" s="220">
        <v>45610</v>
      </c>
      <c r="G157" s="196">
        <v>45622</v>
      </c>
      <c r="H157" s="196">
        <v>45623</v>
      </c>
      <c r="I157" s="198">
        <f ca="1">IF(ISBLANK(H157), NETWORKDAYS(F157, TODAY(),fESTIVOS!$A$1:$A$18), NETWORKDAYS(F157, H157, fESTIVOS!$A$1:$A$18))</f>
        <v>10</v>
      </c>
      <c r="J157" s="196">
        <v>45623</v>
      </c>
      <c r="K157" s="196">
        <v>45667</v>
      </c>
      <c r="L157" s="573" t="s">
        <v>1186</v>
      </c>
      <c r="M157" s="199"/>
      <c r="N157" s="199"/>
      <c r="O157" s="199"/>
      <c r="P157" s="199"/>
      <c r="Q157" s="199"/>
      <c r="R157" s="199"/>
      <c r="S157" s="199"/>
      <c r="T157" s="199"/>
      <c r="U157" s="199"/>
      <c r="V157" s="199"/>
      <c r="W157" s="199"/>
      <c r="X157" s="199"/>
      <c r="Y157" s="199"/>
      <c r="Z157" s="199"/>
    </row>
    <row r="158" spans="1:33" ht="15.75" customHeight="1">
      <c r="A158" s="201" t="s">
        <v>611</v>
      </c>
      <c r="B158" s="223"/>
      <c r="C158" s="192" t="s">
        <v>1187</v>
      </c>
      <c r="D158" s="195" t="s">
        <v>598</v>
      </c>
      <c r="E158" s="498">
        <v>45610</v>
      </c>
      <c r="F158" s="574">
        <v>45611</v>
      </c>
      <c r="G158" s="473"/>
      <c r="H158" s="473">
        <v>45617</v>
      </c>
      <c r="I158" s="499">
        <f ca="1">IF(ISBLANK(H158), NETWORKDAYS(F158, TODAY(),fESTIVOS!$A$1:$A$18), NETWORKDAYS(F158, H158, fESTIVOS!$A$1:$A$18))</f>
        <v>5</v>
      </c>
      <c r="J158" s="473">
        <v>45622</v>
      </c>
      <c r="K158" s="196">
        <v>45667</v>
      </c>
      <c r="L158" s="575" t="s">
        <v>1188</v>
      </c>
      <c r="M158" s="199"/>
      <c r="N158" s="199"/>
      <c r="O158" s="199"/>
      <c r="P158" s="199"/>
      <c r="Q158" s="199"/>
      <c r="R158" s="199"/>
      <c r="S158" s="199"/>
      <c r="T158" s="199"/>
      <c r="U158" s="199"/>
      <c r="V158" s="199"/>
      <c r="W158" s="199"/>
      <c r="X158" s="199"/>
      <c r="Y158" s="199"/>
      <c r="Z158" s="199"/>
    </row>
    <row r="159" spans="1:33" ht="15.75" customHeight="1">
      <c r="A159" s="201" t="s">
        <v>611</v>
      </c>
      <c r="B159" s="223"/>
      <c r="C159" s="192" t="s">
        <v>1189</v>
      </c>
      <c r="D159" s="195" t="s">
        <v>598</v>
      </c>
      <c r="E159" s="220">
        <v>45610</v>
      </c>
      <c r="F159" s="498">
        <v>45621</v>
      </c>
      <c r="G159" s="473">
        <v>45621</v>
      </c>
      <c r="H159" s="473">
        <v>45621</v>
      </c>
      <c r="I159" s="499">
        <f ca="1">IF(ISBLANK(H159), NETWORKDAYS(F159, TODAY(),fESTIVOS!$A$1:$A$18), NETWORKDAYS(F159, H159, fESTIVOS!$A$1:$A$18))</f>
        <v>1</v>
      </c>
      <c r="J159" s="473">
        <v>45622</v>
      </c>
      <c r="K159" s="196">
        <v>45667</v>
      </c>
      <c r="L159" s="576" t="s">
        <v>1190</v>
      </c>
      <c r="M159" s="199"/>
      <c r="N159" s="199"/>
      <c r="O159" s="199"/>
      <c r="P159" s="199"/>
      <c r="Q159" s="199"/>
      <c r="R159" s="199"/>
      <c r="S159" s="199"/>
      <c r="T159" s="199"/>
      <c r="U159" s="199"/>
      <c r="V159" s="199"/>
      <c r="W159" s="199"/>
      <c r="X159" s="199"/>
      <c r="Y159" s="199"/>
      <c r="Z159" s="199"/>
    </row>
    <row r="160" spans="1:33" ht="15.75" customHeight="1">
      <c r="A160" s="217" t="s">
        <v>611</v>
      </c>
      <c r="B160" s="223"/>
      <c r="C160" s="469" t="s">
        <v>1191</v>
      </c>
      <c r="D160" s="195" t="s">
        <v>598</v>
      </c>
      <c r="E160" s="498">
        <v>45610</v>
      </c>
      <c r="F160" s="498">
        <v>45621</v>
      </c>
      <c r="G160" s="473"/>
      <c r="H160" s="473">
        <v>45622</v>
      </c>
      <c r="I160" s="499">
        <f ca="1">IF(ISBLANK(H160), NETWORKDAYS(F160, TODAY(),fESTIVOS!$A$1:$A$18), NETWORKDAYS(F160, H160, fESTIVOS!$A$1:$A$18))</f>
        <v>2</v>
      </c>
      <c r="J160" s="473">
        <v>45622</v>
      </c>
      <c r="K160" s="196">
        <v>45667</v>
      </c>
      <c r="L160" s="573" t="s">
        <v>1192</v>
      </c>
      <c r="M160" s="199"/>
      <c r="N160" s="199"/>
      <c r="O160" s="199"/>
      <c r="P160" s="199"/>
      <c r="Q160" s="199"/>
      <c r="R160" s="199"/>
      <c r="S160" s="199"/>
      <c r="T160" s="199"/>
      <c r="U160" s="199"/>
      <c r="V160" s="199"/>
      <c r="W160" s="199"/>
      <c r="X160" s="199"/>
      <c r="Y160" s="199"/>
      <c r="Z160" s="199"/>
    </row>
    <row r="161" spans="1:26" ht="15.75" customHeight="1">
      <c r="A161" s="201" t="s">
        <v>611</v>
      </c>
      <c r="B161" s="388"/>
      <c r="C161" s="194" t="s">
        <v>1193</v>
      </c>
      <c r="D161" s="195" t="s">
        <v>598</v>
      </c>
      <c r="E161" s="220">
        <v>45624</v>
      </c>
      <c r="F161" s="220">
        <v>45628</v>
      </c>
      <c r="G161" s="196"/>
      <c r="H161" s="196">
        <v>45629</v>
      </c>
      <c r="I161" s="198">
        <f ca="1">IF(ISBLANK(H161), NETWORKDAYS(F161, TODAY(),fESTIVOS!$A$1:$A$18), NETWORKDAYS(F161, H161, fESTIVOS!$A$1:$A$18))</f>
        <v>2</v>
      </c>
      <c r="J161" s="196">
        <v>45629</v>
      </c>
      <c r="K161" s="196">
        <v>45667</v>
      </c>
      <c r="L161" s="575" t="s">
        <v>1194</v>
      </c>
      <c r="M161" s="199"/>
      <c r="N161" s="199"/>
      <c r="O161" s="199"/>
      <c r="P161" s="199"/>
      <c r="Q161" s="199"/>
      <c r="R161" s="199"/>
      <c r="S161" s="199"/>
      <c r="T161" s="199"/>
      <c r="U161" s="199"/>
      <c r="V161" s="199"/>
      <c r="W161" s="199"/>
      <c r="X161" s="199"/>
      <c r="Y161" s="199"/>
      <c r="Z161" s="199"/>
    </row>
    <row r="162" spans="1:26" ht="15.75" customHeight="1">
      <c r="A162" s="558" t="s">
        <v>611</v>
      </c>
      <c r="B162" s="201" t="s">
        <v>1141</v>
      </c>
      <c r="C162" s="490" t="s">
        <v>1195</v>
      </c>
      <c r="D162" s="577" t="s">
        <v>989</v>
      </c>
      <c r="E162" s="220">
        <v>45631</v>
      </c>
      <c r="F162" s="220">
        <v>45635</v>
      </c>
      <c r="G162" s="220">
        <v>45649</v>
      </c>
      <c r="H162" s="220">
        <v>45645</v>
      </c>
      <c r="I162" s="198">
        <f ca="1">IF(ISBLANK(H162), NETWORKDAYS(F162, TODAY(),fESTIVOS!$A$1:$A$18), NETWORKDAYS(F162, H162, fESTIVOS!$A$1:$A$18))</f>
        <v>9</v>
      </c>
      <c r="J162" s="220">
        <v>45645</v>
      </c>
      <c r="K162" s="220">
        <v>45667</v>
      </c>
      <c r="L162" s="443" t="s">
        <v>1196</v>
      </c>
      <c r="M162" s="178"/>
      <c r="N162" s="178"/>
      <c r="O162" s="178"/>
      <c r="P162" s="178"/>
      <c r="Q162" s="178"/>
      <c r="R162" s="178"/>
      <c r="S162" s="178"/>
      <c r="T162" s="178"/>
      <c r="U162" s="178"/>
      <c r="V162" s="178"/>
      <c r="W162" s="178"/>
      <c r="X162" s="178"/>
      <c r="Y162" s="178"/>
      <c r="Z162" s="178"/>
    </row>
    <row r="163" spans="1:26" ht="15.75" customHeight="1">
      <c r="A163" s="561" t="s">
        <v>611</v>
      </c>
      <c r="B163" s="224" t="s">
        <v>1141</v>
      </c>
      <c r="C163" s="578" t="s">
        <v>1197</v>
      </c>
      <c r="D163" s="577" t="s">
        <v>989</v>
      </c>
      <c r="E163" s="455">
        <v>45631</v>
      </c>
      <c r="F163" s="455">
        <v>45644</v>
      </c>
      <c r="G163" s="455">
        <v>45649</v>
      </c>
      <c r="H163" s="455">
        <v>45645</v>
      </c>
      <c r="I163" s="547">
        <f ca="1">IF(ISBLANK(H163), NETWORKDAYS(F163, TODAY(),fESTIVOS!$A$1:$A$18), NETWORKDAYS(F163, H163, fESTIVOS!$A$1:$A$18))</f>
        <v>2</v>
      </c>
      <c r="J163" s="455">
        <v>45645</v>
      </c>
      <c r="K163" s="455">
        <v>45667</v>
      </c>
      <c r="L163" s="456" t="s">
        <v>1198</v>
      </c>
      <c r="M163" s="178"/>
      <c r="N163" s="178"/>
      <c r="O163" s="178"/>
      <c r="P163" s="178"/>
      <c r="Q163" s="178"/>
      <c r="R163" s="178"/>
      <c r="S163" s="178"/>
      <c r="T163" s="178"/>
      <c r="U163" s="178"/>
      <c r="V163" s="178"/>
      <c r="W163" s="178"/>
      <c r="X163" s="178"/>
      <c r="Y163" s="178"/>
      <c r="Z163" s="178"/>
    </row>
    <row r="164" spans="1:26" ht="15.75" customHeight="1">
      <c r="A164" s="561" t="s">
        <v>611</v>
      </c>
      <c r="B164" s="217" t="s">
        <v>1141</v>
      </c>
      <c r="C164" s="579" t="s">
        <v>1199</v>
      </c>
      <c r="D164" s="577" t="s">
        <v>989</v>
      </c>
      <c r="E164" s="220">
        <v>45631</v>
      </c>
      <c r="F164" s="220">
        <v>45644</v>
      </c>
      <c r="G164" s="220">
        <v>45649</v>
      </c>
      <c r="H164" s="498">
        <v>45650</v>
      </c>
      <c r="I164" s="547">
        <f ca="1">IF(ISBLANK(H164), NETWORKDAYS(F164, TODAY(),fESTIVOS!$A$1:$A$18), NETWORKDAYS(F164, H164, fESTIVOS!$A$1:$A$18))</f>
        <v>5</v>
      </c>
      <c r="J164" s="498">
        <v>45650</v>
      </c>
      <c r="K164" s="498">
        <v>45667</v>
      </c>
      <c r="L164" s="443" t="s">
        <v>1200</v>
      </c>
      <c r="M164" s="178"/>
      <c r="N164" s="178"/>
      <c r="O164" s="178"/>
      <c r="P164" s="178"/>
      <c r="Q164" s="178"/>
      <c r="R164" s="178"/>
      <c r="S164" s="178"/>
      <c r="T164" s="178"/>
      <c r="U164" s="178"/>
      <c r="V164" s="178"/>
      <c r="W164" s="178"/>
      <c r="X164" s="178"/>
      <c r="Y164" s="178"/>
      <c r="Z164" s="178"/>
    </row>
    <row r="165" spans="1:26" ht="15.75" customHeight="1">
      <c r="A165" s="561" t="s">
        <v>611</v>
      </c>
      <c r="B165" s="217" t="s">
        <v>1141</v>
      </c>
      <c r="C165" s="579" t="s">
        <v>1201</v>
      </c>
      <c r="D165" s="577" t="s">
        <v>989</v>
      </c>
      <c r="E165" s="498">
        <v>45631</v>
      </c>
      <c r="F165" s="498">
        <v>45644</v>
      </c>
      <c r="G165" s="498">
        <v>45649</v>
      </c>
      <c r="H165" s="498">
        <v>45650</v>
      </c>
      <c r="I165" s="476">
        <f ca="1">IF(ISBLANK(H165), NETWORKDAYS(F165, TODAY(),fESTIVOS!$A$1:$A$18), NETWORKDAYS(F165, H165, fESTIVOS!$A$1:$A$18))</f>
        <v>5</v>
      </c>
      <c r="J165" s="498">
        <v>45650</v>
      </c>
      <c r="K165" s="498">
        <v>45667</v>
      </c>
      <c r="L165" s="500" t="s">
        <v>1202</v>
      </c>
      <c r="M165" s="178"/>
      <c r="N165" s="178"/>
      <c r="O165" s="178"/>
      <c r="P165" s="178"/>
      <c r="Q165" s="178"/>
      <c r="R165" s="178"/>
      <c r="S165" s="178"/>
      <c r="T165" s="178"/>
      <c r="U165" s="178"/>
      <c r="V165" s="178"/>
      <c r="W165" s="178"/>
      <c r="X165" s="178"/>
      <c r="Y165" s="178"/>
      <c r="Z165" s="178"/>
    </row>
    <row r="166" spans="1:26" ht="15.75" customHeight="1">
      <c r="A166" s="216" t="s">
        <v>621</v>
      </c>
      <c r="B166" s="201" t="s">
        <v>1203</v>
      </c>
      <c r="C166" s="211"/>
      <c r="D166" s="195" t="s">
        <v>37</v>
      </c>
      <c r="E166" s="220">
        <v>45667</v>
      </c>
      <c r="F166" s="220">
        <v>45667</v>
      </c>
      <c r="G166" s="220">
        <v>45670</v>
      </c>
      <c r="H166" s="220">
        <v>45667</v>
      </c>
      <c r="I166" s="198">
        <f ca="1">IF(ISBLANK(H166), NETWORKDAYS(F166, TODAY(),fESTIVOS!$A$1:$A$18), NETWORKDAYS(F166, H166, fESTIVOS!$A$1:$A$18))</f>
        <v>1</v>
      </c>
      <c r="J166" s="220"/>
      <c r="K166" s="220"/>
      <c r="L166" s="538"/>
      <c r="M166" s="413"/>
      <c r="N166" s="178"/>
      <c r="O166" s="178"/>
      <c r="P166" s="178"/>
      <c r="Q166" s="178"/>
      <c r="R166" s="178"/>
      <c r="S166" s="178"/>
      <c r="T166" s="178"/>
      <c r="U166" s="178"/>
      <c r="V166" s="178"/>
      <c r="W166" s="178"/>
      <c r="X166" s="178"/>
      <c r="Y166" s="178"/>
      <c r="Z166" s="178"/>
    </row>
    <row r="167" spans="1:26" ht="15.75" customHeight="1">
      <c r="A167" s="201" t="s">
        <v>869</v>
      </c>
      <c r="B167" s="194" t="s">
        <v>1204</v>
      </c>
      <c r="C167" s="219"/>
      <c r="D167" s="442" t="s">
        <v>37</v>
      </c>
      <c r="E167" s="220">
        <v>45667</v>
      </c>
      <c r="F167" s="220">
        <v>45667</v>
      </c>
      <c r="G167" s="220"/>
      <c r="H167" s="220">
        <v>45667</v>
      </c>
      <c r="I167" s="198">
        <f ca="1">IF(ISBLANK(H167), NETWORKDAYS(F167, TODAY(),fESTIVOS!$A$1:$A$18), NETWORKDAYS(F167, H167, fESTIVOS!$A$1:$A$18))</f>
        <v>1</v>
      </c>
      <c r="J167" s="220"/>
      <c r="K167" s="220"/>
      <c r="L167" s="443"/>
      <c r="M167" s="413"/>
      <c r="N167" s="178"/>
      <c r="O167" s="178"/>
      <c r="P167" s="178"/>
      <c r="Q167" s="178"/>
      <c r="R167" s="178"/>
      <c r="S167" s="178"/>
      <c r="T167" s="178"/>
      <c r="U167" s="178"/>
      <c r="V167" s="178"/>
      <c r="W167" s="178"/>
      <c r="X167" s="178"/>
      <c r="Y167" s="178"/>
      <c r="Z167" s="178"/>
    </row>
    <row r="168" spans="1:26" ht="15.75" customHeight="1">
      <c r="A168" s="216" t="s">
        <v>621</v>
      </c>
      <c r="B168" s="569" t="s">
        <v>1205</v>
      </c>
      <c r="C168" s="218"/>
      <c r="D168" s="442" t="s">
        <v>37</v>
      </c>
      <c r="E168" s="220">
        <v>45667</v>
      </c>
      <c r="F168" s="221">
        <v>45667</v>
      </c>
      <c r="G168" s="218"/>
      <c r="H168" s="220">
        <v>45671</v>
      </c>
      <c r="I168" s="198">
        <f ca="1">IF(ISBLANK(H168), NETWORKDAYS(F168, TODAY(),fESTIVOS!$A$1:$A$18), NETWORKDAYS(F168, H168, fESTIVOS!$A$1:$A$18))</f>
        <v>3</v>
      </c>
      <c r="J168" s="220">
        <v>45671</v>
      </c>
      <c r="K168" s="220">
        <v>45671</v>
      </c>
      <c r="L168" s="222" t="s">
        <v>1206</v>
      </c>
      <c r="M168" s="223"/>
      <c r="N168" s="223"/>
      <c r="O168" s="223"/>
      <c r="P168" s="223"/>
      <c r="Q168" s="223"/>
      <c r="R168" s="223"/>
      <c r="S168" s="223"/>
      <c r="T168" s="223"/>
      <c r="U168" s="223"/>
      <c r="V168" s="223"/>
      <c r="W168" s="223"/>
      <c r="X168" s="223"/>
      <c r="Y168" s="223"/>
      <c r="Z168" s="223"/>
    </row>
    <row r="169" spans="1:26" ht="15.75" customHeight="1">
      <c r="A169" s="201" t="s">
        <v>869</v>
      </c>
      <c r="B169" s="194" t="s">
        <v>1207</v>
      </c>
      <c r="C169" s="219"/>
      <c r="D169" s="442" t="s">
        <v>37</v>
      </c>
      <c r="E169" s="220">
        <v>45667</v>
      </c>
      <c r="F169" s="220">
        <v>45670</v>
      </c>
      <c r="G169" s="220"/>
      <c r="H169" s="220">
        <v>45670</v>
      </c>
      <c r="I169" s="198">
        <f ca="1">IF(ISBLANK(H169), NETWORKDAYS(F169, TODAY(),fESTIVOS!$A$1:$A$18), NETWORKDAYS(F169, H169, fESTIVOS!$A$1:$A$18))</f>
        <v>1</v>
      </c>
      <c r="J169" s="220">
        <v>45670</v>
      </c>
      <c r="K169" s="220">
        <v>45672</v>
      </c>
      <c r="L169" s="443"/>
      <c r="M169" s="413"/>
      <c r="N169" s="178"/>
      <c r="O169" s="178"/>
      <c r="P169" s="178"/>
      <c r="Q169" s="178"/>
      <c r="R169" s="178"/>
      <c r="S169" s="178"/>
      <c r="T169" s="178"/>
      <c r="U169" s="178"/>
      <c r="V169" s="178"/>
      <c r="W169" s="178"/>
      <c r="X169" s="178"/>
      <c r="Y169" s="178"/>
      <c r="Z169" s="178"/>
    </row>
    <row r="170" spans="1:26" ht="15.75" customHeight="1">
      <c r="A170" s="201" t="s">
        <v>869</v>
      </c>
      <c r="B170" s="571" t="s">
        <v>1208</v>
      </c>
      <c r="C170" s="219" t="s">
        <v>1209</v>
      </c>
      <c r="D170" s="442" t="s">
        <v>989</v>
      </c>
      <c r="E170" s="220">
        <v>45672</v>
      </c>
      <c r="F170" s="220"/>
      <c r="G170" s="220"/>
      <c r="H170" s="442"/>
      <c r="I170" s="198"/>
      <c r="J170" s="220"/>
      <c r="K170" s="538">
        <v>45692</v>
      </c>
      <c r="L170" s="443" t="s">
        <v>1210</v>
      </c>
      <c r="M170" s="413"/>
      <c r="N170" s="178"/>
      <c r="O170" s="178"/>
      <c r="P170" s="178"/>
      <c r="Q170" s="178"/>
      <c r="R170" s="178"/>
      <c r="S170" s="178"/>
      <c r="T170" s="178"/>
      <c r="U170" s="178"/>
      <c r="V170" s="178"/>
      <c r="W170" s="178"/>
      <c r="X170" s="178"/>
      <c r="Y170" s="178"/>
      <c r="Z170" s="178"/>
    </row>
    <row r="171" spans="1:26" ht="15.75" customHeight="1">
      <c r="A171" s="201" t="s">
        <v>869</v>
      </c>
      <c r="B171" s="571" t="s">
        <v>1208</v>
      </c>
      <c r="C171" s="219" t="s">
        <v>1211</v>
      </c>
      <c r="D171" s="442" t="s">
        <v>989</v>
      </c>
      <c r="E171" s="220">
        <v>45672</v>
      </c>
      <c r="F171" s="220">
        <v>45673</v>
      </c>
      <c r="G171" s="220"/>
      <c r="H171" s="220">
        <v>45673</v>
      </c>
      <c r="I171" s="198">
        <f ca="1">IF(ISBLANK(H171), NETWORKDAYS(F171, TODAY(),fESTIVOS!$A$1:$A$18), NETWORKDAYS(F171, H171, fESTIVOS!$A$1:$A$18))</f>
        <v>1</v>
      </c>
      <c r="J171" s="196">
        <v>45678</v>
      </c>
      <c r="K171" s="538">
        <v>45692</v>
      </c>
      <c r="L171" s="443"/>
      <c r="M171" s="413"/>
      <c r="N171" s="178"/>
      <c r="O171" s="178"/>
      <c r="P171" s="178"/>
      <c r="Q171" s="178"/>
      <c r="R171" s="178"/>
      <c r="S171" s="178"/>
      <c r="T171" s="178"/>
      <c r="U171" s="178"/>
      <c r="V171" s="178"/>
      <c r="W171" s="178"/>
      <c r="X171" s="178"/>
      <c r="Y171" s="178"/>
      <c r="Z171" s="178"/>
    </row>
    <row r="172" spans="1:26" ht="15.75" customHeight="1">
      <c r="A172" s="201" t="s">
        <v>869</v>
      </c>
      <c r="B172" s="194" t="s">
        <v>1212</v>
      </c>
      <c r="C172" s="219"/>
      <c r="D172" s="442" t="s">
        <v>37</v>
      </c>
      <c r="E172" s="220">
        <v>45673</v>
      </c>
      <c r="F172" s="220">
        <v>45673</v>
      </c>
      <c r="G172" s="220"/>
      <c r="H172" s="220">
        <v>45673</v>
      </c>
      <c r="I172" s="198">
        <f ca="1">IF(ISBLANK(H172), NETWORKDAYS(F172, TODAY(),fESTIVOS!$A$1:$A$18), NETWORKDAYS(F172, H172, fESTIVOS!$A$1:$A$18))</f>
        <v>1</v>
      </c>
      <c r="J172" s="220"/>
      <c r="K172" s="220"/>
      <c r="L172" s="538" t="s">
        <v>1213</v>
      </c>
      <c r="M172" s="413"/>
      <c r="N172" s="178"/>
      <c r="O172" s="178"/>
      <c r="P172" s="178"/>
      <c r="Q172" s="178"/>
      <c r="R172" s="178"/>
      <c r="S172" s="178"/>
      <c r="T172" s="178"/>
      <c r="U172" s="178"/>
      <c r="V172" s="178"/>
      <c r="W172" s="178"/>
      <c r="X172" s="178"/>
      <c r="Y172" s="178"/>
      <c r="Z172" s="178"/>
    </row>
    <row r="173" spans="1:26" ht="15.75" customHeight="1">
      <c r="A173" s="201" t="s">
        <v>869</v>
      </c>
      <c r="B173" s="194" t="s">
        <v>1214</v>
      </c>
      <c r="C173" s="219"/>
      <c r="D173" s="442" t="s">
        <v>37</v>
      </c>
      <c r="E173" s="220">
        <v>45671</v>
      </c>
      <c r="F173" s="220">
        <v>45671</v>
      </c>
      <c r="G173" s="220"/>
      <c r="H173" s="220">
        <v>45672</v>
      </c>
      <c r="I173" s="198">
        <f ca="1">IF(ISBLANK(H173), NETWORKDAYS(F173, TODAY(),fESTIVOS!$A$1:$A$18), NETWORKDAYS(F173, H173, fESTIVOS!$A$1:$A$18))</f>
        <v>2</v>
      </c>
      <c r="J173" s="220">
        <v>45672</v>
      </c>
      <c r="K173" s="220">
        <v>45674</v>
      </c>
      <c r="L173" s="443" t="s">
        <v>1215</v>
      </c>
      <c r="M173" s="413"/>
      <c r="N173" s="178"/>
      <c r="O173" s="178"/>
      <c r="P173" s="178"/>
      <c r="Q173" s="178"/>
      <c r="R173" s="178"/>
      <c r="S173" s="178"/>
      <c r="T173" s="178"/>
      <c r="U173" s="178"/>
      <c r="V173" s="178"/>
      <c r="W173" s="178"/>
      <c r="X173" s="178"/>
      <c r="Y173" s="178"/>
      <c r="Z173" s="178"/>
    </row>
    <row r="174" spans="1:26" ht="15.75" customHeight="1">
      <c r="A174" s="201" t="s">
        <v>869</v>
      </c>
      <c r="B174" s="194" t="s">
        <v>1216</v>
      </c>
      <c r="C174" s="219"/>
      <c r="D174" s="442" t="s">
        <v>9</v>
      </c>
      <c r="E174" s="220">
        <v>45667</v>
      </c>
      <c r="F174" s="220">
        <v>45667</v>
      </c>
      <c r="G174" s="220"/>
      <c r="H174" s="220">
        <v>45673</v>
      </c>
      <c r="I174" s="198">
        <f ca="1">IF(ISBLANK(H174), NETWORKDAYS(F174, TODAY(),fESTIVOS!$A$1:$A$18), NETWORKDAYS(F174, H174, fESTIVOS!$A$1:$A$18))</f>
        <v>5</v>
      </c>
      <c r="J174" s="220"/>
      <c r="K174" s="220"/>
      <c r="L174" s="443" t="s">
        <v>1217</v>
      </c>
      <c r="M174" s="413"/>
      <c r="N174" s="178"/>
      <c r="O174" s="178"/>
      <c r="P174" s="178"/>
      <c r="Q174" s="178"/>
      <c r="R174" s="178"/>
      <c r="S174" s="178"/>
      <c r="T174" s="178"/>
      <c r="U174" s="178"/>
      <c r="V174" s="178"/>
      <c r="W174" s="178"/>
      <c r="X174" s="178"/>
      <c r="Y174" s="178"/>
      <c r="Z174" s="178"/>
    </row>
    <row r="175" spans="1:26" ht="15.75" customHeight="1">
      <c r="A175" s="201" t="s">
        <v>869</v>
      </c>
      <c r="B175" s="571" t="s">
        <v>1218</v>
      </c>
      <c r="C175" s="219"/>
      <c r="D175" s="442" t="s">
        <v>9</v>
      </c>
      <c r="E175" s="220">
        <v>45677</v>
      </c>
      <c r="F175" s="220">
        <v>45677</v>
      </c>
      <c r="G175" s="220"/>
      <c r="H175" s="220">
        <v>45677</v>
      </c>
      <c r="I175" s="198">
        <f ca="1">IF(ISBLANK(H175), NETWORKDAYS(F175, TODAY(),fESTIVOS!$A$1:$A$18), NETWORKDAYS(F175, H175, fESTIVOS!$A$1:$A$18))</f>
        <v>1</v>
      </c>
      <c r="J175" s="220"/>
      <c r="K175" s="220">
        <v>45677</v>
      </c>
      <c r="L175" s="443"/>
      <c r="M175" s="413"/>
      <c r="N175" s="178"/>
      <c r="O175" s="178"/>
      <c r="P175" s="178"/>
      <c r="Q175" s="178"/>
      <c r="R175" s="178"/>
      <c r="S175" s="178"/>
      <c r="T175" s="178"/>
      <c r="U175" s="178"/>
      <c r="V175" s="178"/>
      <c r="W175" s="178"/>
      <c r="X175" s="178"/>
      <c r="Y175" s="178"/>
      <c r="Z175" s="178"/>
    </row>
    <row r="176" spans="1:26" ht="45" customHeight="1">
      <c r="A176" s="177" t="s">
        <v>596</v>
      </c>
      <c r="B176" s="415" t="s">
        <v>1219</v>
      </c>
      <c r="C176" s="447"/>
      <c r="D176" s="189" t="s">
        <v>45</v>
      </c>
      <c r="E176" s="188">
        <v>45611</v>
      </c>
      <c r="F176" s="188">
        <v>45622</v>
      </c>
      <c r="G176" s="188">
        <v>45624</v>
      </c>
      <c r="H176" s="189"/>
      <c r="I176" s="190">
        <f ca="1">IF(ISBLANK(H176), NETWORKDAYS(F176, TODAY(),fESTIVOS!$A$1:$A$18), NETWORKDAYS(F176, H176, fESTIVOS!$A$1:$A$18))</f>
        <v>337</v>
      </c>
      <c r="J176" s="447"/>
      <c r="K176" s="447"/>
      <c r="L176" s="208" t="s">
        <v>1220</v>
      </c>
    </row>
    <row r="177" spans="1:33" ht="15.75" customHeight="1">
      <c r="A177" s="177" t="s">
        <v>596</v>
      </c>
      <c r="B177" s="418"/>
      <c r="C177" s="185" t="s">
        <v>1221</v>
      </c>
      <c r="D177" s="189" t="s">
        <v>989</v>
      </c>
      <c r="E177" s="188">
        <v>45611</v>
      </c>
      <c r="F177" s="188">
        <v>45624</v>
      </c>
      <c r="G177" s="188">
        <v>45624</v>
      </c>
      <c r="H177" s="188">
        <v>45628</v>
      </c>
      <c r="I177" s="190">
        <f ca="1">IF(ISBLANK(H177), NETWORKDAYS(F177, TODAY(),fESTIVOS!$A$1:$A$18), NETWORKDAYS(F177, H177, fESTIVOS!$A$1:$A$18))</f>
        <v>3</v>
      </c>
      <c r="J177" s="447"/>
      <c r="K177" s="407">
        <v>45631</v>
      </c>
      <c r="L177" s="580" t="s">
        <v>1222</v>
      </c>
    </row>
    <row r="178" spans="1:33" ht="15.75" customHeight="1">
      <c r="A178" s="177" t="s">
        <v>596</v>
      </c>
      <c r="B178" s="362"/>
      <c r="C178" s="581" t="s">
        <v>1223</v>
      </c>
      <c r="D178" s="189" t="s">
        <v>989</v>
      </c>
      <c r="E178" s="188">
        <v>45611</v>
      </c>
      <c r="F178" s="188">
        <v>45629</v>
      </c>
      <c r="G178" s="188">
        <v>45631</v>
      </c>
      <c r="H178" s="188"/>
      <c r="I178" s="190">
        <f ca="1">IF(ISBLANK(H178), NETWORKDAYS(F178, TODAY(),fESTIVOS!$A$1:$A$18), NETWORKDAYS(F178, H178, fESTIVOS!$A$1:$A$18))</f>
        <v>332</v>
      </c>
      <c r="J178" s="447"/>
      <c r="K178" s="407">
        <v>45658</v>
      </c>
      <c r="L178" s="580" t="s">
        <v>1224</v>
      </c>
    </row>
    <row r="179" spans="1:33" ht="15.75" customHeight="1">
      <c r="A179" s="515" t="s">
        <v>596</v>
      </c>
      <c r="B179" s="533" t="s">
        <v>1225</v>
      </c>
      <c r="C179" s="515"/>
      <c r="D179" s="521" t="s">
        <v>37</v>
      </c>
      <c r="E179" s="522">
        <v>45644</v>
      </c>
      <c r="F179" s="522">
        <v>45644</v>
      </c>
      <c r="G179" s="523"/>
      <c r="H179" s="524">
        <v>45658</v>
      </c>
      <c r="I179" s="190">
        <f ca="1">IF(ISBLANK(H179), NETWORKDAYS(F179, TODAY(),fESTIVOS!$A$1:$A$18), NETWORKDAYS(F179, H179, fESTIVOS!$A$1:$A$18))</f>
        <v>10</v>
      </c>
      <c r="J179" s="524"/>
      <c r="K179" s="524"/>
      <c r="L179" s="525" t="s">
        <v>1226</v>
      </c>
      <c r="M179" s="550"/>
      <c r="N179" s="550"/>
      <c r="O179" s="550"/>
      <c r="P179" s="550"/>
      <c r="Q179" s="550"/>
      <c r="R179" s="550"/>
      <c r="S179" s="550"/>
      <c r="T179" s="550"/>
      <c r="U179" s="550"/>
      <c r="V179" s="550"/>
      <c r="W179" s="550"/>
      <c r="X179" s="550"/>
      <c r="Y179" s="550"/>
      <c r="Z179" s="550"/>
      <c r="AA179" s="551"/>
      <c r="AB179" s="551"/>
      <c r="AC179" s="551"/>
      <c r="AD179" s="551"/>
      <c r="AE179" s="551"/>
      <c r="AF179" s="551"/>
      <c r="AG179" s="551"/>
    </row>
    <row r="180" spans="1:33" ht="15.75" customHeight="1">
      <c r="A180" s="216" t="s">
        <v>621</v>
      </c>
      <c r="B180" s="201" t="s">
        <v>1227</v>
      </c>
      <c r="C180" s="211" t="s">
        <v>1228</v>
      </c>
      <c r="D180" s="195" t="s">
        <v>989</v>
      </c>
      <c r="E180" s="220">
        <v>45667</v>
      </c>
      <c r="F180" s="220">
        <v>45667</v>
      </c>
      <c r="G180" s="220">
        <v>45670</v>
      </c>
      <c r="H180" s="220">
        <v>45672</v>
      </c>
      <c r="I180" s="198">
        <f ca="1">IF(ISBLANK(H180), NETWORKDAYS(F180, TODAY(),fESTIVOS!$A$1:$A$18), NETWORKDAYS(F180, H180, fESTIVOS!$A$1:$A$18))</f>
        <v>4</v>
      </c>
      <c r="J180" s="220">
        <v>45672</v>
      </c>
      <c r="K180" s="220">
        <v>45678</v>
      </c>
      <c r="L180" s="538" t="s">
        <v>1229</v>
      </c>
      <c r="M180" s="413"/>
      <c r="N180" s="178"/>
      <c r="O180" s="178"/>
      <c r="P180" s="178"/>
      <c r="Q180" s="178"/>
      <c r="R180" s="178"/>
      <c r="S180" s="178"/>
      <c r="T180" s="178"/>
      <c r="U180" s="178"/>
      <c r="V180" s="178"/>
      <c r="W180" s="178"/>
      <c r="X180" s="178"/>
      <c r="Y180" s="178"/>
      <c r="Z180" s="178"/>
    </row>
    <row r="181" spans="1:33" ht="15.75" customHeight="1">
      <c r="A181" s="201" t="s">
        <v>869</v>
      </c>
      <c r="B181" s="194" t="s">
        <v>1230</v>
      </c>
      <c r="C181" s="219"/>
      <c r="D181" s="442" t="s">
        <v>37</v>
      </c>
      <c r="E181" s="220">
        <v>45678</v>
      </c>
      <c r="F181" s="220">
        <v>45678</v>
      </c>
      <c r="G181" s="220"/>
      <c r="H181" s="220">
        <v>45679</v>
      </c>
      <c r="I181" s="198">
        <f ca="1">IF(ISBLANK(H181), NETWORKDAYS(F181, TODAY(),fESTIVOS!$A$1:$A$18), NETWORKDAYS(F181, H181, fESTIVOS!$A$1:$A$18))</f>
        <v>2</v>
      </c>
      <c r="J181" s="220"/>
      <c r="K181" s="220"/>
      <c r="L181" s="443" t="s">
        <v>1231</v>
      </c>
      <c r="M181" s="413"/>
      <c r="N181" s="178"/>
      <c r="O181" s="178"/>
      <c r="P181" s="178"/>
      <c r="Q181" s="178"/>
      <c r="R181" s="178"/>
      <c r="S181" s="178"/>
      <c r="T181" s="178"/>
      <c r="U181" s="178"/>
      <c r="V181" s="178"/>
      <c r="W181" s="178"/>
      <c r="X181" s="178"/>
      <c r="Y181" s="178"/>
      <c r="Z181" s="178"/>
    </row>
    <row r="182" spans="1:33" ht="15.75" customHeight="1">
      <c r="A182" s="201" t="s">
        <v>869</v>
      </c>
      <c r="B182" s="194" t="s">
        <v>1232</v>
      </c>
      <c r="C182" s="219"/>
      <c r="D182" s="442" t="s">
        <v>1233</v>
      </c>
      <c r="E182" s="220">
        <v>45671</v>
      </c>
      <c r="F182" s="220">
        <v>45671</v>
      </c>
      <c r="G182" s="220"/>
      <c r="H182" s="220">
        <v>45680</v>
      </c>
      <c r="I182" s="198">
        <f ca="1">IF(ISBLANK(H182), NETWORKDAYS(F182, TODAY(),fESTIVOS!$A$1:$A$18), NETWORKDAYS(F182, H182, fESTIVOS!$A$1:$A$18))</f>
        <v>8</v>
      </c>
      <c r="J182" s="220"/>
      <c r="K182" s="220">
        <v>45680</v>
      </c>
      <c r="L182" s="443" t="s">
        <v>1234</v>
      </c>
      <c r="M182" s="413"/>
      <c r="N182" s="178"/>
      <c r="O182" s="178"/>
      <c r="P182" s="178"/>
      <c r="Q182" s="178"/>
      <c r="R182" s="178"/>
      <c r="S182" s="178"/>
      <c r="T182" s="178"/>
      <c r="U182" s="178"/>
      <c r="V182" s="178"/>
      <c r="W182" s="178"/>
      <c r="X182" s="178"/>
      <c r="Y182" s="178"/>
      <c r="Z182" s="178"/>
    </row>
    <row r="183" spans="1:33" ht="15.75" customHeight="1">
      <c r="A183" s="192" t="s">
        <v>603</v>
      </c>
      <c r="B183" s="536" t="s">
        <v>1235</v>
      </c>
      <c r="C183" s="441"/>
      <c r="D183" s="195" t="s">
        <v>989</v>
      </c>
      <c r="E183" s="220">
        <v>45664</v>
      </c>
      <c r="F183" s="220">
        <v>45664</v>
      </c>
      <c r="G183" s="220">
        <v>45665</v>
      </c>
      <c r="H183" s="220">
        <v>45666</v>
      </c>
      <c r="I183" s="198">
        <f ca="1">IF(ISBLANK(H183), NETWORKDAYS(F183, TODAY(),fESTIVOS!$A$1:$A$18), NETWORKDAYS(F183, H183, fESTIVOS!$A$1:$A$18))</f>
        <v>3</v>
      </c>
      <c r="J183" s="220">
        <v>45666</v>
      </c>
      <c r="K183" s="220">
        <v>45674</v>
      </c>
      <c r="L183" s="443" t="s">
        <v>1236</v>
      </c>
      <c r="M183" s="413"/>
      <c r="N183" s="178"/>
      <c r="O183" s="178"/>
      <c r="P183" s="178"/>
      <c r="Q183" s="178"/>
      <c r="R183" s="178"/>
      <c r="S183" s="178"/>
      <c r="T183" s="178"/>
      <c r="U183" s="178"/>
      <c r="V183" s="178"/>
      <c r="W183" s="178"/>
      <c r="X183" s="178"/>
      <c r="Y183" s="178"/>
      <c r="Z183" s="178"/>
    </row>
    <row r="184" spans="1:33" ht="15.75" customHeight="1">
      <c r="A184" s="394" t="s">
        <v>596</v>
      </c>
      <c r="B184" s="582" t="s">
        <v>47</v>
      </c>
      <c r="C184" s="396"/>
      <c r="D184" s="410" t="s">
        <v>989</v>
      </c>
      <c r="E184" s="188">
        <v>45307</v>
      </c>
      <c r="F184" s="188">
        <v>45677</v>
      </c>
      <c r="G184" s="188"/>
      <c r="H184" s="188">
        <v>45678</v>
      </c>
      <c r="I184" s="190">
        <f ca="1">IF(ISBLANK(H184), NETWORKDAYS(F184, TODAY(),fESTIVOS!$A$1:$A$18), NETWORKDAYS(F184, H184, fESTIVOS!$A$1:$A$18))</f>
        <v>2</v>
      </c>
      <c r="J184" s="188"/>
      <c r="K184" s="188">
        <v>45680</v>
      </c>
      <c r="L184" s="191"/>
      <c r="M184" s="178"/>
      <c r="N184" s="178"/>
      <c r="O184" s="178"/>
      <c r="P184" s="178"/>
      <c r="Q184" s="178"/>
      <c r="R184" s="178"/>
      <c r="S184" s="178"/>
      <c r="T184" s="178"/>
      <c r="U184" s="178"/>
      <c r="V184" s="178"/>
      <c r="W184" s="178"/>
      <c r="X184" s="178"/>
      <c r="Y184" s="178"/>
      <c r="Z184" s="178"/>
    </row>
    <row r="185" spans="1:33" ht="15.75" customHeight="1">
      <c r="A185" s="177" t="s">
        <v>596</v>
      </c>
      <c r="B185" s="583" t="s">
        <v>1237</v>
      </c>
      <c r="C185" s="396"/>
      <c r="D185" s="410" t="s">
        <v>989</v>
      </c>
      <c r="E185" s="188">
        <v>45678</v>
      </c>
      <c r="F185" s="188">
        <v>45677</v>
      </c>
      <c r="G185" s="188"/>
      <c r="H185" s="188">
        <v>45680</v>
      </c>
      <c r="I185" s="190">
        <f ca="1">IF(ISBLANK(H185), NETWORKDAYS(F185, TODAY(),fESTIVOS!$A$1:$A$18), NETWORKDAYS(F185, H185, fESTIVOS!$A$1:$A$18))</f>
        <v>4</v>
      </c>
      <c r="J185" s="188"/>
      <c r="K185" s="188">
        <v>45680</v>
      </c>
      <c r="L185" s="191"/>
      <c r="M185" s="178"/>
      <c r="N185" s="178"/>
      <c r="O185" s="178"/>
      <c r="P185" s="178"/>
      <c r="Q185" s="178"/>
      <c r="R185" s="178"/>
      <c r="S185" s="178"/>
      <c r="T185" s="178"/>
      <c r="U185" s="178"/>
      <c r="V185" s="178"/>
      <c r="W185" s="178"/>
      <c r="X185" s="178"/>
      <c r="Y185" s="178"/>
      <c r="Z185" s="178"/>
    </row>
    <row r="186" spans="1:33" ht="15.75" customHeight="1">
      <c r="A186" s="177" t="s">
        <v>596</v>
      </c>
      <c r="B186" s="584" t="s">
        <v>1238</v>
      </c>
      <c r="C186" s="396" t="s">
        <v>1239</v>
      </c>
      <c r="D186" s="410" t="s">
        <v>989</v>
      </c>
      <c r="E186" s="188">
        <v>45678</v>
      </c>
      <c r="F186" s="188">
        <v>45680</v>
      </c>
      <c r="G186" s="188"/>
      <c r="H186" s="188">
        <v>45680</v>
      </c>
      <c r="I186" s="190">
        <f ca="1">IF(ISBLANK(H186), NETWORKDAYS(F186, TODAY(),fESTIVOS!$A$1:$A$18), NETWORKDAYS(F186, H186, fESTIVOS!$A$1:$A$18))</f>
        <v>1</v>
      </c>
      <c r="J186" s="188"/>
      <c r="K186" s="188">
        <v>45680</v>
      </c>
      <c r="L186" s="191"/>
      <c r="M186" s="178"/>
      <c r="N186" s="178"/>
      <c r="O186" s="178"/>
      <c r="P186" s="178"/>
      <c r="Q186" s="178"/>
      <c r="R186" s="178"/>
      <c r="S186" s="178"/>
      <c r="T186" s="178"/>
      <c r="U186" s="178"/>
      <c r="V186" s="178"/>
      <c r="W186" s="178"/>
      <c r="X186" s="178"/>
      <c r="Y186" s="178"/>
      <c r="Z186" s="178"/>
    </row>
    <row r="187" spans="1:33" ht="15.75" customHeight="1">
      <c r="A187" s="177" t="s">
        <v>596</v>
      </c>
      <c r="B187" s="583" t="s">
        <v>1240</v>
      </c>
      <c r="C187" s="396"/>
      <c r="D187" s="410" t="s">
        <v>989</v>
      </c>
      <c r="E187" s="188">
        <v>45678</v>
      </c>
      <c r="F187" s="188">
        <v>45680</v>
      </c>
      <c r="G187" s="188"/>
      <c r="H187" s="188">
        <v>45680</v>
      </c>
      <c r="I187" s="190">
        <f ca="1">IF(ISBLANK(H187), NETWORKDAYS(F187, TODAY(),fESTIVOS!$A$1:$A$18), NETWORKDAYS(F187, H187, fESTIVOS!$A$1:$A$18))</f>
        <v>1</v>
      </c>
      <c r="J187" s="188"/>
      <c r="K187" s="188">
        <v>45680</v>
      </c>
      <c r="L187" s="191"/>
      <c r="M187" s="178"/>
      <c r="N187" s="178"/>
      <c r="O187" s="178"/>
      <c r="P187" s="178"/>
      <c r="Q187" s="178"/>
      <c r="R187" s="178"/>
      <c r="S187" s="178"/>
      <c r="T187" s="178"/>
      <c r="U187" s="178"/>
      <c r="V187" s="178"/>
      <c r="W187" s="178"/>
      <c r="X187" s="178"/>
      <c r="Y187" s="178"/>
      <c r="Z187" s="178"/>
    </row>
    <row r="188" spans="1:33" ht="15.75" customHeight="1">
      <c r="A188" s="177" t="s">
        <v>596</v>
      </c>
      <c r="B188" s="583" t="s">
        <v>1241</v>
      </c>
      <c r="C188" s="396"/>
      <c r="D188" s="410" t="s">
        <v>989</v>
      </c>
      <c r="E188" s="188">
        <v>45678</v>
      </c>
      <c r="F188" s="188">
        <v>45680</v>
      </c>
      <c r="G188" s="188"/>
      <c r="H188" s="188">
        <v>45680</v>
      </c>
      <c r="I188" s="190">
        <f ca="1">IF(ISBLANK(H188), NETWORKDAYS(F188, TODAY(),fESTIVOS!$A$1:$A$18), NETWORKDAYS(F188, H188, fESTIVOS!$A$1:$A$18))</f>
        <v>1</v>
      </c>
      <c r="J188" s="188"/>
      <c r="K188" s="188">
        <v>45680</v>
      </c>
      <c r="L188" s="191"/>
      <c r="M188" s="178"/>
      <c r="N188" s="178"/>
      <c r="O188" s="178"/>
      <c r="P188" s="178"/>
      <c r="Q188" s="178"/>
      <c r="R188" s="178"/>
      <c r="S188" s="178"/>
      <c r="T188" s="178"/>
      <c r="U188" s="178"/>
      <c r="V188" s="178"/>
      <c r="W188" s="178"/>
      <c r="X188" s="178"/>
      <c r="Y188" s="178"/>
      <c r="Z188" s="178"/>
    </row>
    <row r="189" spans="1:33" ht="15.75" customHeight="1">
      <c r="A189" s="216" t="s">
        <v>621</v>
      </c>
      <c r="B189" s="571" t="s">
        <v>1242</v>
      </c>
      <c r="C189" s="585" t="s">
        <v>1243</v>
      </c>
      <c r="D189" s="195" t="s">
        <v>1244</v>
      </c>
      <c r="E189" s="220">
        <v>45667</v>
      </c>
      <c r="F189" s="586">
        <v>45670</v>
      </c>
      <c r="G189" s="219"/>
      <c r="H189" s="586">
        <v>45674</v>
      </c>
      <c r="I189" s="198">
        <f ca="1">IF(ISBLANK(H189), NETWORKDAYS(F189, TODAY(),fESTIVOS!$A$1:$A$18), NETWORKDAYS(F189, H189, fESTIVOS!$A$1:$A$18))</f>
        <v>5</v>
      </c>
      <c r="J189" s="219"/>
      <c r="K189" s="219"/>
      <c r="L189" s="219" t="s">
        <v>1245</v>
      </c>
    </row>
    <row r="190" spans="1:33" ht="15.75" customHeight="1">
      <c r="A190" s="177" t="s">
        <v>596</v>
      </c>
      <c r="B190" s="583" t="s">
        <v>1246</v>
      </c>
      <c r="C190" s="396"/>
      <c r="D190" s="410" t="s">
        <v>989</v>
      </c>
      <c r="E190" s="188">
        <v>45678</v>
      </c>
      <c r="F190" s="188">
        <v>45681</v>
      </c>
      <c r="G190" s="188"/>
      <c r="H190" s="188">
        <v>45681</v>
      </c>
      <c r="I190" s="190">
        <f ca="1">IF(ISBLANK(H190), NETWORKDAYS(F190, TODAY(),fESTIVOS!$A$1:$A$18), NETWORKDAYS(F190, H190, fESTIVOS!$A$1:$A$18))</f>
        <v>1</v>
      </c>
      <c r="J190" s="188">
        <v>45686</v>
      </c>
      <c r="K190" s="188">
        <v>45686</v>
      </c>
      <c r="L190" s="191" t="s">
        <v>1247</v>
      </c>
      <c r="M190" s="178"/>
      <c r="N190" s="178"/>
      <c r="O190" s="178"/>
      <c r="P190" s="178"/>
      <c r="Q190" s="178"/>
      <c r="R190" s="178"/>
      <c r="S190" s="178"/>
      <c r="T190" s="178"/>
      <c r="U190" s="178"/>
      <c r="V190" s="178"/>
      <c r="W190" s="178"/>
      <c r="X190" s="178"/>
      <c r="Y190" s="178"/>
      <c r="Z190" s="178"/>
    </row>
    <row r="191" spans="1:33" ht="15.75" customHeight="1">
      <c r="A191" s="201" t="s">
        <v>611</v>
      </c>
      <c r="B191" s="216" t="s">
        <v>1248</v>
      </c>
      <c r="C191" s="216"/>
      <c r="D191" s="195" t="s">
        <v>989</v>
      </c>
      <c r="E191" s="220">
        <v>45666</v>
      </c>
      <c r="F191" s="202">
        <v>45685</v>
      </c>
      <c r="G191" s="195" t="s">
        <v>1249</v>
      </c>
      <c r="H191" s="202">
        <v>45686</v>
      </c>
      <c r="I191" s="198">
        <f ca="1">IF(ISBLANK(H191), NETWORKDAYS(F191, TODAY(),fESTIVOS!$A$1:$A$18), NETWORKDAYS(F191, H191, fESTIVOS!$A$1:$A$18))</f>
        <v>2</v>
      </c>
      <c r="J191" s="202">
        <v>45686</v>
      </c>
      <c r="K191" s="202">
        <v>45688</v>
      </c>
      <c r="L191" s="501" t="s">
        <v>1250</v>
      </c>
      <c r="M191" s="413"/>
      <c r="N191" s="178"/>
      <c r="O191" s="178"/>
      <c r="P191" s="178"/>
      <c r="Q191" s="178"/>
      <c r="R191" s="178"/>
      <c r="S191" s="178"/>
      <c r="T191" s="178"/>
      <c r="U191" s="178"/>
      <c r="V191" s="178"/>
      <c r="W191" s="178"/>
      <c r="X191" s="178"/>
      <c r="Y191" s="178"/>
      <c r="Z191" s="178"/>
    </row>
    <row r="192" spans="1:33" ht="15.75" customHeight="1">
      <c r="A192" s="201" t="s">
        <v>869</v>
      </c>
      <c r="B192" s="194" t="s">
        <v>1251</v>
      </c>
      <c r="C192" s="219"/>
      <c r="D192" s="442" t="s">
        <v>37</v>
      </c>
      <c r="E192" s="220">
        <v>45687</v>
      </c>
      <c r="F192" s="220">
        <v>45687</v>
      </c>
      <c r="G192" s="220"/>
      <c r="H192" s="220">
        <v>45687</v>
      </c>
      <c r="I192" s="198">
        <f ca="1">IF(ISBLANK(H192), NETWORKDAYS(F192, TODAY(),fESTIVOS!$A$1:$A$18), NETWORKDAYS(F192, H192, fESTIVOS!$A$1:$A$18))</f>
        <v>1</v>
      </c>
      <c r="J192" s="220"/>
      <c r="K192" s="220"/>
      <c r="L192" s="443" t="s">
        <v>1252</v>
      </c>
      <c r="M192" s="413"/>
      <c r="N192" s="178"/>
      <c r="O192" s="178"/>
      <c r="P192" s="178"/>
      <c r="Q192" s="178"/>
      <c r="R192" s="178"/>
      <c r="S192" s="178"/>
      <c r="T192" s="178"/>
      <c r="U192" s="178"/>
      <c r="V192" s="178"/>
      <c r="W192" s="178"/>
      <c r="X192" s="178"/>
      <c r="Y192" s="178"/>
      <c r="Z192" s="178"/>
    </row>
    <row r="193" spans="1:26" ht="15.75" customHeight="1">
      <c r="A193" s="216" t="s">
        <v>621</v>
      </c>
      <c r="B193" s="216" t="s">
        <v>1253</v>
      </c>
      <c r="C193" s="218"/>
      <c r="D193" s="442" t="s">
        <v>989</v>
      </c>
      <c r="E193" s="220">
        <v>45685</v>
      </c>
      <c r="F193" s="221">
        <v>45685</v>
      </c>
      <c r="G193" s="218"/>
      <c r="H193" s="587">
        <v>45687</v>
      </c>
      <c r="I193" s="198">
        <f ca="1">IF(ISBLANK(H193), NETWORKDAYS(F193, TODAY(),fESTIVOS!$A$1:$A$18), NETWORKDAYS(F193, H193, fESTIVOS!$A$1:$A$18))</f>
        <v>3</v>
      </c>
      <c r="J193" s="587">
        <v>45687</v>
      </c>
      <c r="K193" s="587">
        <v>45687</v>
      </c>
      <c r="L193" s="222" t="s">
        <v>1254</v>
      </c>
      <c r="M193" s="223"/>
      <c r="N193" s="223"/>
      <c r="O193" s="223"/>
      <c r="P193" s="223"/>
      <c r="Q193" s="223"/>
      <c r="R193" s="223"/>
      <c r="S193" s="223"/>
      <c r="T193" s="223"/>
      <c r="U193" s="223"/>
      <c r="V193" s="223"/>
      <c r="W193" s="223"/>
      <c r="X193" s="223"/>
      <c r="Y193" s="223"/>
      <c r="Z193" s="223"/>
    </row>
    <row r="194" spans="1:26" ht="15" customHeight="1">
      <c r="A194" s="216" t="s">
        <v>621</v>
      </c>
      <c r="B194" s="571" t="s">
        <v>1242</v>
      </c>
      <c r="C194" s="490" t="s">
        <v>1255</v>
      </c>
      <c r="D194" s="195" t="s">
        <v>1244</v>
      </c>
      <c r="E194" s="220">
        <v>45681</v>
      </c>
      <c r="F194" s="220">
        <v>45681</v>
      </c>
      <c r="G194" s="220"/>
      <c r="H194" s="220">
        <v>45681</v>
      </c>
      <c r="I194" s="198">
        <f ca="1">IF(ISBLANK(H194), NETWORKDAYS(F194, TODAY(),fESTIVOS!$A$1:$A$18), NETWORKDAYS(F194, H194, fESTIVOS!$A$1:$A$18))</f>
        <v>1</v>
      </c>
      <c r="J194" s="220">
        <v>45681</v>
      </c>
      <c r="K194" s="220"/>
      <c r="L194" s="443"/>
    </row>
    <row r="195" spans="1:26" ht="15.75" customHeight="1">
      <c r="A195" s="201" t="s">
        <v>611</v>
      </c>
      <c r="B195" s="201" t="s">
        <v>1256</v>
      </c>
      <c r="C195" s="216"/>
      <c r="D195" s="195" t="s">
        <v>37</v>
      </c>
      <c r="E195" s="220">
        <v>45685</v>
      </c>
      <c r="F195" s="202">
        <v>45685</v>
      </c>
      <c r="G195" s="195"/>
      <c r="H195" s="202">
        <v>45688</v>
      </c>
      <c r="I195" s="198">
        <f ca="1">IF(ISBLANK(H195), NETWORKDAYS(F195, TODAY(),fESTIVOS!$A$1:$A$18), NETWORKDAYS(F195, H195, fESTIVOS!$A$1:$A$18))</f>
        <v>4</v>
      </c>
      <c r="J195" s="202">
        <v>45688</v>
      </c>
      <c r="K195" s="202">
        <v>45688</v>
      </c>
      <c r="L195" s="501" t="s">
        <v>1257</v>
      </c>
      <c r="M195" s="413"/>
      <c r="N195" s="178"/>
      <c r="O195" s="178"/>
      <c r="P195" s="178"/>
      <c r="Q195" s="178"/>
      <c r="R195" s="178"/>
      <c r="S195" s="178"/>
      <c r="T195" s="178"/>
      <c r="U195" s="178"/>
      <c r="V195" s="178"/>
      <c r="W195" s="178"/>
      <c r="X195" s="178"/>
      <c r="Y195" s="178"/>
      <c r="Z195" s="178"/>
    </row>
    <row r="196" spans="1:26" ht="15.75" customHeight="1">
      <c r="A196" s="588" t="s">
        <v>596</v>
      </c>
      <c r="B196" s="589" t="s">
        <v>1258</v>
      </c>
      <c r="C196" s="590"/>
      <c r="D196" s="591" t="s">
        <v>989</v>
      </c>
      <c r="E196" s="592">
        <v>45610</v>
      </c>
      <c r="F196" s="592">
        <v>45629</v>
      </c>
      <c r="G196" s="592"/>
      <c r="H196" s="592">
        <v>45636</v>
      </c>
      <c r="I196" s="593">
        <f ca="1">IF(ISBLANK(H196), NETWORKDAYS(F196, TODAY(),fESTIVOS!$A$1:$A$18), NETWORKDAYS(F196, H196, fESTIVOS!$A$1:$A$18))</f>
        <v>6</v>
      </c>
      <c r="J196" s="592">
        <v>45636</v>
      </c>
      <c r="K196" s="592">
        <v>45691</v>
      </c>
      <c r="L196" s="594" t="s">
        <v>1259</v>
      </c>
      <c r="M196" s="178"/>
      <c r="N196" s="178"/>
      <c r="O196" s="178"/>
      <c r="P196" s="178"/>
      <c r="Q196" s="178"/>
      <c r="R196" s="178"/>
      <c r="S196" s="178"/>
      <c r="T196" s="178"/>
      <c r="U196" s="178"/>
      <c r="V196" s="178"/>
      <c r="W196" s="178"/>
      <c r="X196" s="178"/>
      <c r="Y196" s="178"/>
      <c r="Z196" s="178"/>
    </row>
    <row r="197" spans="1:26" ht="15.75" customHeight="1">
      <c r="A197" s="595" t="s">
        <v>596</v>
      </c>
      <c r="B197" s="415" t="s">
        <v>1260</v>
      </c>
      <c r="C197" s="425" t="s">
        <v>1261</v>
      </c>
      <c r="D197" s="426" t="s">
        <v>989</v>
      </c>
      <c r="E197" s="458">
        <v>45688</v>
      </c>
      <c r="F197" s="458">
        <v>45688</v>
      </c>
      <c r="G197" s="458"/>
      <c r="H197" s="458">
        <v>45688</v>
      </c>
      <c r="I197" s="403">
        <f ca="1">IF(ISBLANK(H197), NETWORKDAYS(F197, TODAY(),fESTIVOS!$A$1:$A$18), NETWORKDAYS(F197, H197, fESTIVOS!$A$1:$A$18))</f>
        <v>1</v>
      </c>
      <c r="J197" s="458"/>
      <c r="K197" s="458">
        <v>45688</v>
      </c>
      <c r="L197" s="596" t="s">
        <v>1262</v>
      </c>
      <c r="M197" s="178"/>
      <c r="N197" s="178"/>
      <c r="O197" s="178"/>
      <c r="P197" s="178"/>
      <c r="Q197" s="178"/>
      <c r="R197" s="178"/>
      <c r="S197" s="178"/>
      <c r="T197" s="178"/>
      <c r="U197" s="178"/>
      <c r="V197" s="178"/>
      <c r="W197" s="178"/>
      <c r="X197" s="178"/>
      <c r="Y197" s="178"/>
      <c r="Z197" s="178"/>
    </row>
    <row r="198" spans="1:26" ht="15.75" customHeight="1">
      <c r="A198" s="595" t="s">
        <v>596</v>
      </c>
      <c r="B198" s="424"/>
      <c r="C198" s="597" t="s">
        <v>1263</v>
      </c>
      <c r="D198" s="426" t="s">
        <v>989</v>
      </c>
      <c r="E198" s="458">
        <v>45555</v>
      </c>
      <c r="F198" s="458">
        <v>45555</v>
      </c>
      <c r="G198" s="458"/>
      <c r="H198" s="458">
        <v>45688</v>
      </c>
      <c r="I198" s="403">
        <f ca="1">IF(ISBLANK(H198), NETWORKDAYS(F198, TODAY(),fESTIVOS!$A$1:$A$18), NETWORKDAYS(F198, H198, fESTIVOS!$A$1:$A$18))</f>
        <v>92</v>
      </c>
      <c r="J198" s="458"/>
      <c r="K198" s="458">
        <v>45688</v>
      </c>
      <c r="L198" s="459" t="s">
        <v>1264</v>
      </c>
      <c r="M198" s="178"/>
      <c r="N198" s="178"/>
      <c r="O198" s="178"/>
      <c r="P198" s="178"/>
      <c r="Q198" s="178"/>
      <c r="R198" s="178"/>
      <c r="S198" s="178"/>
      <c r="T198" s="178"/>
      <c r="U198" s="178"/>
      <c r="V198" s="178"/>
      <c r="W198" s="178"/>
      <c r="X198" s="178"/>
      <c r="Y198" s="178"/>
      <c r="Z198" s="178"/>
    </row>
    <row r="199" spans="1:26" ht="15.75" customHeight="1">
      <c r="A199" s="177" t="s">
        <v>596</v>
      </c>
      <c r="B199" s="424"/>
      <c r="C199" s="598" t="s">
        <v>1265</v>
      </c>
      <c r="D199" s="426" t="s">
        <v>989</v>
      </c>
      <c r="E199" s="188">
        <v>45566</v>
      </c>
      <c r="F199" s="188">
        <v>45568</v>
      </c>
      <c r="G199" s="188"/>
      <c r="H199" s="458">
        <v>45688</v>
      </c>
      <c r="I199" s="190">
        <f ca="1">IF(ISBLANK(H199), NETWORKDAYS(F199, TODAY(),fESTIVOS!$A$1:$A$18), NETWORKDAYS(F199, H199, fESTIVOS!$A$1:$A$18))</f>
        <v>83</v>
      </c>
      <c r="J199" s="188"/>
      <c r="K199" s="458">
        <v>45688</v>
      </c>
      <c r="L199" s="191" t="s">
        <v>1266</v>
      </c>
      <c r="M199" s="178"/>
      <c r="N199" s="178"/>
      <c r="O199" s="178"/>
      <c r="P199" s="178"/>
      <c r="Q199" s="178"/>
      <c r="R199" s="178"/>
      <c r="S199" s="178"/>
      <c r="T199" s="178"/>
      <c r="U199" s="178"/>
      <c r="V199" s="178"/>
      <c r="W199" s="178"/>
      <c r="X199" s="178"/>
      <c r="Y199" s="178"/>
      <c r="Z199" s="178"/>
    </row>
    <row r="200" spans="1:26" ht="15.75" customHeight="1">
      <c r="A200" s="177" t="s">
        <v>596</v>
      </c>
      <c r="B200" s="539"/>
      <c r="C200" s="598" t="s">
        <v>1267</v>
      </c>
      <c r="D200" s="426" t="s">
        <v>989</v>
      </c>
      <c r="E200" s="188">
        <v>45566</v>
      </c>
      <c r="F200" s="188">
        <v>45566</v>
      </c>
      <c r="G200" s="188"/>
      <c r="H200" s="458">
        <v>45688</v>
      </c>
      <c r="I200" s="190">
        <f ca="1">IF(ISBLANK(H200), NETWORKDAYS(F200, TODAY(),fESTIVOS!$A$1:$A$18), NETWORKDAYS(F200, H200, fESTIVOS!$A$1:$A$18))</f>
        <v>85</v>
      </c>
      <c r="J200" s="188"/>
      <c r="K200" s="458">
        <v>45688</v>
      </c>
      <c r="L200" s="411" t="s">
        <v>1268</v>
      </c>
      <c r="M200" s="178"/>
      <c r="N200" s="178"/>
      <c r="O200" s="178"/>
      <c r="P200" s="178"/>
      <c r="Q200" s="178"/>
      <c r="R200" s="178"/>
      <c r="S200" s="178"/>
      <c r="T200" s="178"/>
      <c r="U200" s="178"/>
      <c r="V200" s="178"/>
      <c r="W200" s="178"/>
      <c r="X200" s="178"/>
      <c r="Y200" s="178"/>
      <c r="Z200" s="178"/>
    </row>
    <row r="201" spans="1:26" ht="15.75" customHeight="1">
      <c r="A201" s="177" t="s">
        <v>596</v>
      </c>
      <c r="B201" s="211" t="s">
        <v>1269</v>
      </c>
      <c r="C201" s="396"/>
      <c r="D201" s="410" t="s">
        <v>989</v>
      </c>
      <c r="E201" s="188">
        <v>45386</v>
      </c>
      <c r="F201" s="188">
        <v>45386</v>
      </c>
      <c r="G201" s="188"/>
      <c r="H201" s="188">
        <v>45688</v>
      </c>
      <c r="I201" s="190">
        <f ca="1">IF(ISBLANK(H201), NETWORKDAYS(F201, TODAY(),fESTIVOS!$A$1:$A$18), NETWORKDAYS(F201, H201, fESTIVOS!$A$1:$A$18))</f>
        <v>206</v>
      </c>
      <c r="J201" s="188"/>
      <c r="K201" s="188">
        <v>45688</v>
      </c>
      <c r="L201" s="191" t="s">
        <v>1270</v>
      </c>
      <c r="M201" s="178"/>
      <c r="N201" s="178"/>
      <c r="O201" s="178"/>
      <c r="P201" s="178"/>
      <c r="Q201" s="178"/>
      <c r="R201" s="178"/>
      <c r="S201" s="178"/>
      <c r="T201" s="178"/>
      <c r="U201" s="178"/>
      <c r="V201" s="178"/>
      <c r="W201" s="178"/>
      <c r="X201" s="178"/>
      <c r="Y201" s="178"/>
      <c r="Z201" s="178"/>
    </row>
    <row r="202" spans="1:26" ht="15.75" customHeight="1">
      <c r="A202" s="412" t="s">
        <v>869</v>
      </c>
      <c r="B202" s="415" t="s">
        <v>1208</v>
      </c>
      <c r="C202" s="506"/>
      <c r="D202" s="442" t="s">
        <v>989</v>
      </c>
      <c r="E202" s="188">
        <v>45602</v>
      </c>
      <c r="F202" s="460">
        <v>45624</v>
      </c>
      <c r="G202" s="188">
        <v>45630</v>
      </c>
      <c r="H202" s="188">
        <v>45646</v>
      </c>
      <c r="I202" s="190">
        <f ca="1">IF(ISBLANK(H202), NETWORKDAYS(F202, TODAY(),fESTIVOS!$A$1:$A$18), NETWORKDAYS(F202, H202, fESTIVOS!$A$1:$A$18))</f>
        <v>17</v>
      </c>
      <c r="J202" s="188">
        <v>45646</v>
      </c>
      <c r="K202" s="460">
        <v>45692</v>
      </c>
      <c r="L202" s="408" t="s">
        <v>1271</v>
      </c>
      <c r="M202" s="448"/>
      <c r="N202" s="184"/>
      <c r="O202" s="184"/>
      <c r="P202" s="184"/>
      <c r="Q202" s="184"/>
      <c r="R202" s="184"/>
      <c r="S202" s="184"/>
      <c r="T202" s="184"/>
      <c r="U202" s="184"/>
      <c r="V202" s="184"/>
      <c r="W202" s="184"/>
      <c r="X202" s="184"/>
      <c r="Y202" s="184"/>
      <c r="Z202" s="184"/>
    </row>
    <row r="203" spans="1:26" ht="15" customHeight="1">
      <c r="A203" s="412" t="s">
        <v>869</v>
      </c>
      <c r="B203" s="424"/>
      <c r="C203" s="362" t="s">
        <v>1272</v>
      </c>
      <c r="D203" s="426" t="s">
        <v>45</v>
      </c>
      <c r="E203" s="458">
        <v>45602</v>
      </c>
      <c r="F203" s="427">
        <v>45625</v>
      </c>
      <c r="G203" s="458"/>
      <c r="H203" s="426"/>
      <c r="I203" s="464">
        <f ca="1">IF(ISBLANK(H203), NETWORKDAYS(F203, TODAY(),fESTIVOS!$A$1:$A$18), NETWORKDAYS(F203, H203, fESTIVOS!$A$1:$A$18))</f>
        <v>334</v>
      </c>
      <c r="J203" s="436"/>
      <c r="K203" s="436"/>
      <c r="L203" s="428" t="s">
        <v>1273</v>
      </c>
      <c r="M203" s="448"/>
      <c r="N203" s="184"/>
      <c r="O203" s="184"/>
      <c r="P203" s="184"/>
      <c r="Q203" s="184"/>
      <c r="R203" s="184"/>
      <c r="S203" s="184"/>
      <c r="T203" s="184"/>
      <c r="U203" s="184"/>
      <c r="V203" s="184"/>
      <c r="W203" s="184"/>
      <c r="X203" s="184"/>
      <c r="Y203" s="184"/>
      <c r="Z203" s="184"/>
    </row>
    <row r="204" spans="1:26" ht="15.75" customHeight="1">
      <c r="A204" s="412" t="s">
        <v>869</v>
      </c>
      <c r="B204" s="424"/>
      <c r="C204" s="599" t="s">
        <v>1274</v>
      </c>
      <c r="D204" s="189" t="s">
        <v>37</v>
      </c>
      <c r="E204" s="486">
        <v>45632</v>
      </c>
      <c r="F204" s="460">
        <v>45642</v>
      </c>
      <c r="G204" s="188"/>
      <c r="H204" s="188">
        <v>45642</v>
      </c>
      <c r="I204" s="190">
        <f ca="1">IF(ISBLANK(H204), NETWORKDAYS(F204, TODAY(),fESTIVOS!$A$1:$A$18), NETWORKDAYS(F204, H204, fESTIVOS!$A$1:$A$18))</f>
        <v>1</v>
      </c>
      <c r="J204" s="188">
        <v>45643</v>
      </c>
      <c r="K204" s="447"/>
      <c r="L204" s="408"/>
      <c r="M204" s="448"/>
      <c r="N204" s="184"/>
      <c r="O204" s="184"/>
      <c r="P204" s="184"/>
      <c r="Q204" s="184"/>
      <c r="R204" s="184"/>
      <c r="S204" s="184"/>
      <c r="T204" s="184"/>
      <c r="U204" s="184"/>
      <c r="V204" s="184"/>
      <c r="W204" s="184"/>
      <c r="X204" s="184"/>
      <c r="Y204" s="184"/>
      <c r="Z204" s="184"/>
    </row>
    <row r="205" spans="1:26" ht="15.75" customHeight="1">
      <c r="A205" s="412" t="s">
        <v>869</v>
      </c>
      <c r="B205" s="424"/>
      <c r="C205" s="599" t="s">
        <v>1275</v>
      </c>
      <c r="D205" s="189" t="s">
        <v>37</v>
      </c>
      <c r="E205" s="486">
        <v>45632</v>
      </c>
      <c r="F205" s="460">
        <v>45642</v>
      </c>
      <c r="G205" s="188"/>
      <c r="H205" s="188">
        <v>45642</v>
      </c>
      <c r="I205" s="190">
        <f ca="1">IF(ISBLANK(H205), NETWORKDAYS(F205, TODAY(),fESTIVOS!$A$1:$A$18), NETWORKDAYS(F205, H205, fESTIVOS!$A$1:$A$18))</f>
        <v>1</v>
      </c>
      <c r="J205" s="188">
        <v>45643</v>
      </c>
      <c r="K205" s="447"/>
      <c r="L205" s="408"/>
      <c r="M205" s="448"/>
      <c r="N205" s="184"/>
      <c r="O205" s="184"/>
      <c r="P205" s="184"/>
      <c r="Q205" s="184"/>
      <c r="R205" s="184"/>
      <c r="S205" s="184"/>
      <c r="T205" s="184"/>
      <c r="U205" s="184"/>
      <c r="V205" s="184"/>
      <c r="W205" s="184"/>
      <c r="X205" s="184"/>
      <c r="Y205" s="184"/>
      <c r="Z205" s="184"/>
    </row>
    <row r="206" spans="1:26" ht="15.75" customHeight="1">
      <c r="A206" s="412" t="s">
        <v>869</v>
      </c>
      <c r="B206" s="424"/>
      <c r="C206" s="600" t="s">
        <v>1276</v>
      </c>
      <c r="D206" s="410" t="s">
        <v>989</v>
      </c>
      <c r="E206" s="486">
        <v>45632</v>
      </c>
      <c r="F206" s="460">
        <v>45632</v>
      </c>
      <c r="G206" s="188"/>
      <c r="H206" s="407">
        <v>45635</v>
      </c>
      <c r="I206" s="190">
        <f ca="1">IF(ISBLANK(H206), NETWORKDAYS(F206, TODAY(),fESTIVOS!$A$1:$A$18), NETWORKDAYS(F206, H206, fESTIVOS!$A$1:$A$18))</f>
        <v>2</v>
      </c>
      <c r="J206" s="407">
        <v>45635</v>
      </c>
      <c r="K206" s="407">
        <v>45636</v>
      </c>
      <c r="L206" s="408" t="s">
        <v>1277</v>
      </c>
      <c r="M206" s="448"/>
      <c r="N206" s="184"/>
      <c r="O206" s="184"/>
      <c r="P206" s="184"/>
      <c r="Q206" s="184"/>
      <c r="R206" s="184"/>
      <c r="S206" s="184"/>
      <c r="T206" s="184"/>
      <c r="U206" s="184"/>
      <c r="V206" s="184"/>
      <c r="W206" s="184"/>
      <c r="X206" s="184"/>
      <c r="Y206" s="184"/>
      <c r="Z206" s="184"/>
    </row>
    <row r="207" spans="1:26" ht="15.75" customHeight="1">
      <c r="A207" s="412" t="s">
        <v>869</v>
      </c>
      <c r="B207" s="424"/>
      <c r="C207" s="226" t="s">
        <v>1278</v>
      </c>
      <c r="D207" s="410" t="s">
        <v>37</v>
      </c>
      <c r="E207" s="188">
        <v>45644</v>
      </c>
      <c r="F207" s="460">
        <v>45644</v>
      </c>
      <c r="G207" s="188"/>
      <c r="H207" s="407">
        <v>45646</v>
      </c>
      <c r="I207" s="190">
        <f ca="1">IF(ISBLANK(H207), NETWORKDAYS(F207, TODAY(),fESTIVOS!$A$1:$A$18), NETWORKDAYS(F207, H207, fESTIVOS!$A$1:$A$18))</f>
        <v>3</v>
      </c>
      <c r="J207" s="407"/>
      <c r="K207" s="407"/>
      <c r="L207" s="408" t="s">
        <v>1279</v>
      </c>
      <c r="M207" s="448"/>
      <c r="N207" s="184"/>
      <c r="O207" s="184"/>
      <c r="P207" s="184"/>
      <c r="Q207" s="184"/>
      <c r="R207" s="184"/>
      <c r="S207" s="184"/>
      <c r="T207" s="184"/>
      <c r="U207" s="184"/>
      <c r="V207" s="184"/>
      <c r="W207" s="184"/>
      <c r="X207" s="184"/>
      <c r="Y207" s="184"/>
      <c r="Z207" s="184"/>
    </row>
    <row r="208" spans="1:26" ht="15.75" customHeight="1">
      <c r="A208" s="201" t="s">
        <v>869</v>
      </c>
      <c r="B208" s="539"/>
      <c r="C208" s="194" t="s">
        <v>1280</v>
      </c>
      <c r="D208" s="442" t="s">
        <v>46</v>
      </c>
      <c r="E208" s="220">
        <v>45660</v>
      </c>
      <c r="F208" s="220">
        <v>45660</v>
      </c>
      <c r="G208" s="220"/>
      <c r="H208" s="220">
        <v>45664</v>
      </c>
      <c r="I208" s="198">
        <f ca="1">IF(ISBLANK(H208), NETWORKDAYS(F208, TODAY(),fESTIVOS!$A$1:$A$18), NETWORKDAYS(F208, H208, fESTIVOS!$A$1:$A$18))</f>
        <v>3</v>
      </c>
      <c r="J208" s="220">
        <v>45664</v>
      </c>
      <c r="K208" s="220"/>
      <c r="L208" s="443" t="s">
        <v>1281</v>
      </c>
      <c r="M208" s="413"/>
      <c r="N208" s="178"/>
      <c r="O208" s="178"/>
      <c r="P208" s="178"/>
      <c r="Q208" s="178"/>
      <c r="R208" s="178"/>
      <c r="S208" s="178"/>
      <c r="T208" s="178"/>
      <c r="U208" s="178"/>
      <c r="V208" s="178"/>
      <c r="W208" s="178"/>
      <c r="X208" s="178"/>
      <c r="Y208" s="178"/>
      <c r="Z208" s="178"/>
    </row>
    <row r="209" spans="1:26" ht="15.75" customHeight="1">
      <c r="A209" s="560" t="s">
        <v>621</v>
      </c>
      <c r="B209" s="601" t="s">
        <v>1242</v>
      </c>
      <c r="C209" s="602" t="s">
        <v>1282</v>
      </c>
      <c r="D209" s="195" t="s">
        <v>1244</v>
      </c>
      <c r="E209" s="455">
        <v>45572</v>
      </c>
      <c r="F209" s="455">
        <v>45573</v>
      </c>
      <c r="G209" s="455">
        <v>45572</v>
      </c>
      <c r="H209" s="455">
        <v>45574</v>
      </c>
      <c r="I209" s="547">
        <f ca="1">IF(ISBLANK(H209), NETWORKDAYS(F209, TODAY(),fESTIVOS!$A$1:$A$18), NETWORKDAYS(F209, H209, fESTIVOS!$A$1:$A$18))</f>
        <v>2</v>
      </c>
      <c r="J209" s="455">
        <v>45629</v>
      </c>
      <c r="K209" s="455"/>
      <c r="L209" s="456" t="s">
        <v>1283</v>
      </c>
      <c r="M209" s="413"/>
      <c r="N209" s="178"/>
      <c r="O209" s="178"/>
      <c r="P209" s="178"/>
      <c r="Q209" s="178"/>
      <c r="R209" s="178"/>
      <c r="S209" s="178"/>
      <c r="T209" s="178"/>
      <c r="U209" s="178"/>
      <c r="V209" s="178"/>
      <c r="W209" s="178"/>
      <c r="X209" s="178"/>
      <c r="Y209" s="178"/>
      <c r="Z209" s="178"/>
    </row>
    <row r="210" spans="1:26" ht="15.75" customHeight="1">
      <c r="A210" s="216" t="s">
        <v>621</v>
      </c>
      <c r="B210" s="601" t="s">
        <v>1242</v>
      </c>
      <c r="C210" s="219" t="s">
        <v>1284</v>
      </c>
      <c r="D210" s="195" t="s">
        <v>1244</v>
      </c>
      <c r="E210" s="220">
        <v>45574</v>
      </c>
      <c r="F210" s="220">
        <v>45574</v>
      </c>
      <c r="G210" s="220">
        <v>45582</v>
      </c>
      <c r="H210" s="498">
        <v>45596</v>
      </c>
      <c r="I210" s="198">
        <f ca="1">IF(ISBLANK(H210), NETWORKDAYS(F210, TODAY(),fESTIVOS!$A$1:$A$18), NETWORKDAYS(F210, H210, fESTIVOS!$A$1:$A$18))</f>
        <v>16</v>
      </c>
      <c r="J210" s="455">
        <v>45629</v>
      </c>
      <c r="K210" s="220"/>
      <c r="L210" s="443" t="s">
        <v>1285</v>
      </c>
      <c r="M210" s="413"/>
      <c r="N210" s="178"/>
      <c r="O210" s="178"/>
      <c r="P210" s="178"/>
      <c r="Q210" s="178"/>
      <c r="R210" s="178"/>
      <c r="S210" s="178"/>
      <c r="T210" s="178"/>
      <c r="U210" s="178"/>
      <c r="V210" s="178"/>
      <c r="W210" s="178"/>
      <c r="X210" s="178"/>
      <c r="Y210" s="178"/>
      <c r="Z210" s="178"/>
    </row>
    <row r="211" spans="1:26" ht="15.75" customHeight="1">
      <c r="A211" s="495" t="s">
        <v>621</v>
      </c>
      <c r="B211" s="601" t="s">
        <v>1242</v>
      </c>
      <c r="C211" s="526" t="s">
        <v>1286</v>
      </c>
      <c r="D211" s="195" t="s">
        <v>1244</v>
      </c>
      <c r="E211" s="498">
        <v>45574</v>
      </c>
      <c r="F211" s="498">
        <v>45574</v>
      </c>
      <c r="G211" s="498">
        <v>45582</v>
      </c>
      <c r="H211" s="498">
        <v>45596</v>
      </c>
      <c r="I211" s="499">
        <f ca="1">IF(ISBLANK(H211), NETWORKDAYS(F211, TODAY(),fESTIVOS!$A$1:$A$18), NETWORKDAYS(F211, H211, fESTIVOS!$A$1:$A$18))</f>
        <v>16</v>
      </c>
      <c r="J211" s="455">
        <v>45629</v>
      </c>
      <c r="K211" s="498"/>
      <c r="L211" s="500" t="s">
        <v>1287</v>
      </c>
      <c r="M211" s="413"/>
      <c r="N211" s="178"/>
      <c r="O211" s="178"/>
      <c r="P211" s="178"/>
      <c r="Q211" s="178"/>
      <c r="R211" s="178"/>
      <c r="S211" s="178"/>
      <c r="T211" s="178"/>
      <c r="U211" s="178"/>
      <c r="V211" s="178"/>
      <c r="W211" s="178"/>
      <c r="X211" s="178"/>
      <c r="Y211" s="178"/>
      <c r="Z211" s="178"/>
    </row>
    <row r="212" spans="1:26" ht="15.75" customHeight="1">
      <c r="A212" s="495" t="s">
        <v>621</v>
      </c>
      <c r="B212" s="601" t="s">
        <v>1242</v>
      </c>
      <c r="C212" s="553" t="s">
        <v>1288</v>
      </c>
      <c r="D212" s="195" t="s">
        <v>1244</v>
      </c>
      <c r="E212" s="498">
        <v>45574</v>
      </c>
      <c r="F212" s="498">
        <v>45594</v>
      </c>
      <c r="G212" s="498">
        <v>45595</v>
      </c>
      <c r="H212" s="498">
        <v>45596</v>
      </c>
      <c r="I212" s="499">
        <f ca="1">IF(ISBLANK(H212), NETWORKDAYS(F212, TODAY(),fESTIVOS!$A$1:$A$18), NETWORKDAYS(F212, H212, fESTIVOS!$A$1:$A$18))</f>
        <v>3</v>
      </c>
      <c r="J212" s="455">
        <v>45629</v>
      </c>
      <c r="K212" s="498"/>
      <c r="L212" s="500" t="s">
        <v>1289</v>
      </c>
      <c r="M212" s="413"/>
      <c r="N212" s="178"/>
      <c r="O212" s="178"/>
      <c r="P212" s="178"/>
      <c r="Q212" s="178"/>
      <c r="R212" s="178"/>
      <c r="S212" s="178"/>
      <c r="T212" s="178"/>
      <c r="U212" s="178"/>
      <c r="V212" s="178"/>
      <c r="W212" s="178"/>
      <c r="X212" s="178"/>
      <c r="Y212" s="178"/>
      <c r="Z212" s="178"/>
    </row>
    <row r="213" spans="1:26" ht="15.75" customHeight="1">
      <c r="A213" s="216" t="s">
        <v>621</v>
      </c>
      <c r="B213" s="601" t="s">
        <v>1242</v>
      </c>
      <c r="C213" s="219" t="s">
        <v>1290</v>
      </c>
      <c r="D213" s="195" t="s">
        <v>1244</v>
      </c>
      <c r="E213" s="220">
        <v>45574</v>
      </c>
      <c r="F213" s="220">
        <v>45597</v>
      </c>
      <c r="G213" s="220">
        <v>45601</v>
      </c>
      <c r="H213" s="220"/>
      <c r="I213" s="198">
        <f ca="1">IF(ISBLANK(H213), NETWORKDAYS(F213, TODAY(),fESTIVOS!$A$1:$A$18), NETWORKDAYS(F213, H213, fESTIVOS!$A$1:$A$18))</f>
        <v>352</v>
      </c>
      <c r="J213" s="455">
        <v>45629</v>
      </c>
      <c r="K213" s="220"/>
      <c r="L213" s="443" t="s">
        <v>1291</v>
      </c>
      <c r="M213" s="413"/>
      <c r="N213" s="178"/>
      <c r="O213" s="178"/>
      <c r="P213" s="178"/>
      <c r="Q213" s="178"/>
      <c r="R213" s="178"/>
      <c r="S213" s="178"/>
      <c r="T213" s="178"/>
      <c r="U213" s="178"/>
      <c r="V213" s="178"/>
      <c r="W213" s="178"/>
      <c r="X213" s="178"/>
      <c r="Y213" s="178"/>
      <c r="Z213" s="178"/>
    </row>
    <row r="214" spans="1:26" ht="15.75" customHeight="1">
      <c r="A214" s="216" t="s">
        <v>621</v>
      </c>
      <c r="B214" s="601" t="s">
        <v>1242</v>
      </c>
      <c r="C214" s="559" t="s">
        <v>1292</v>
      </c>
      <c r="D214" s="195" t="s">
        <v>1244</v>
      </c>
      <c r="E214" s="220">
        <v>45574</v>
      </c>
      <c r="F214" s="455">
        <v>45602</v>
      </c>
      <c r="G214" s="455">
        <v>45604</v>
      </c>
      <c r="H214" s="455">
        <v>45609</v>
      </c>
      <c r="I214" s="198">
        <f ca="1">IF(ISBLANK(H214), NETWORKDAYS(F214, TODAY(),fESTIVOS!$A$1:$A$18), NETWORKDAYS(F214, H214, fESTIVOS!$A$1:$A$18))</f>
        <v>5</v>
      </c>
      <c r="J214" s="455">
        <v>45629</v>
      </c>
      <c r="K214" s="455"/>
      <c r="L214" s="456" t="s">
        <v>1293</v>
      </c>
      <c r="M214" s="413"/>
      <c r="N214" s="178"/>
      <c r="O214" s="178"/>
      <c r="P214" s="178"/>
      <c r="Q214" s="178"/>
      <c r="R214" s="178"/>
      <c r="S214" s="178"/>
      <c r="T214" s="178"/>
      <c r="U214" s="178"/>
      <c r="V214" s="178"/>
      <c r="W214" s="178"/>
      <c r="X214" s="178"/>
      <c r="Y214" s="178"/>
      <c r="Z214" s="178"/>
    </row>
    <row r="215" spans="1:26" ht="15.75" customHeight="1">
      <c r="A215" s="216" t="s">
        <v>621</v>
      </c>
      <c r="B215" s="601" t="s">
        <v>1242</v>
      </c>
      <c r="C215" s="559" t="s">
        <v>1294</v>
      </c>
      <c r="D215" s="195" t="s">
        <v>1244</v>
      </c>
      <c r="E215" s="220">
        <v>45574</v>
      </c>
      <c r="F215" s="455">
        <v>45610</v>
      </c>
      <c r="G215" s="455">
        <v>45617</v>
      </c>
      <c r="H215" s="455">
        <v>45617</v>
      </c>
      <c r="I215" s="198">
        <f ca="1">IF(ISBLANK(H215), NETWORKDAYS(F215, TODAY(),fESTIVOS!$A$1:$A$18), NETWORKDAYS(F215, H215, fESTIVOS!$A$1:$A$18))</f>
        <v>6</v>
      </c>
      <c r="J215" s="455">
        <v>45629</v>
      </c>
      <c r="K215" s="455"/>
      <c r="L215" s="456" t="s">
        <v>1295</v>
      </c>
      <c r="M215" s="413"/>
      <c r="N215" s="178"/>
      <c r="O215" s="178"/>
      <c r="P215" s="178"/>
      <c r="Q215" s="178"/>
      <c r="R215" s="178"/>
      <c r="S215" s="178"/>
      <c r="T215" s="178"/>
      <c r="U215" s="178"/>
      <c r="V215" s="178"/>
      <c r="W215" s="178"/>
      <c r="X215" s="178"/>
      <c r="Y215" s="178"/>
      <c r="Z215" s="178"/>
    </row>
    <row r="216" spans="1:26" ht="15.75" customHeight="1">
      <c r="A216" s="216" t="s">
        <v>621</v>
      </c>
      <c r="B216" s="601" t="s">
        <v>1242</v>
      </c>
      <c r="C216" s="559" t="s">
        <v>1296</v>
      </c>
      <c r="D216" s="195" t="s">
        <v>1244</v>
      </c>
      <c r="E216" s="220">
        <v>45574</v>
      </c>
      <c r="F216" s="455">
        <v>45617</v>
      </c>
      <c r="G216" s="455">
        <v>45617</v>
      </c>
      <c r="H216" s="455">
        <v>45617</v>
      </c>
      <c r="I216" s="198">
        <f ca="1">IF(ISBLANK(H216), NETWORKDAYS(F216, TODAY(),fESTIVOS!$A$1:$A$18), NETWORKDAYS(F216, H216, fESTIVOS!$A$1:$A$18))</f>
        <v>1</v>
      </c>
      <c r="J216" s="455">
        <v>45629</v>
      </c>
      <c r="K216" s="455"/>
      <c r="L216" s="456" t="s">
        <v>1297</v>
      </c>
      <c r="M216" s="413"/>
      <c r="N216" s="178"/>
      <c r="O216" s="178"/>
      <c r="P216" s="178"/>
      <c r="Q216" s="178"/>
      <c r="R216" s="178"/>
      <c r="S216" s="178"/>
      <c r="T216" s="178"/>
      <c r="U216" s="178"/>
      <c r="V216" s="178"/>
      <c r="W216" s="178"/>
      <c r="X216" s="178"/>
      <c r="Y216" s="178"/>
      <c r="Z216" s="178"/>
    </row>
    <row r="217" spans="1:26" ht="15.75" customHeight="1">
      <c r="A217" s="216" t="s">
        <v>621</v>
      </c>
      <c r="B217" s="601" t="s">
        <v>1242</v>
      </c>
      <c r="C217" s="559" t="s">
        <v>1298</v>
      </c>
      <c r="D217" s="195" t="s">
        <v>1244</v>
      </c>
      <c r="E217" s="220">
        <v>45574</v>
      </c>
      <c r="F217" s="455">
        <v>45618</v>
      </c>
      <c r="G217" s="455">
        <v>45621</v>
      </c>
      <c r="H217" s="455">
        <v>45625</v>
      </c>
      <c r="I217" s="198">
        <f ca="1">IF(ISBLANK(H217), NETWORKDAYS(F217, TODAY(),fESTIVOS!$A$1:$A$18), NETWORKDAYS(F217, H217, fESTIVOS!$A$1:$A$18))</f>
        <v>6</v>
      </c>
      <c r="J217" s="455">
        <v>45629</v>
      </c>
      <c r="K217" s="455"/>
      <c r="L217" s="456" t="s">
        <v>1299</v>
      </c>
      <c r="M217" s="413"/>
      <c r="N217" s="178"/>
      <c r="O217" s="178"/>
      <c r="P217" s="178"/>
      <c r="Q217" s="178"/>
      <c r="R217" s="178"/>
      <c r="S217" s="178"/>
      <c r="T217" s="178"/>
      <c r="U217" s="178"/>
      <c r="V217" s="178"/>
      <c r="W217" s="178"/>
      <c r="X217" s="178"/>
      <c r="Y217" s="178"/>
      <c r="Z217" s="178"/>
    </row>
    <row r="218" spans="1:26" ht="15.75" customHeight="1">
      <c r="A218" s="216" t="s">
        <v>621</v>
      </c>
      <c r="B218" s="601" t="s">
        <v>1242</v>
      </c>
      <c r="C218" s="559" t="s">
        <v>1300</v>
      </c>
      <c r="D218" s="195" t="s">
        <v>1244</v>
      </c>
      <c r="E218" s="220">
        <v>45574</v>
      </c>
      <c r="F218" s="455">
        <v>45621</v>
      </c>
      <c r="G218" s="455">
        <v>45621</v>
      </c>
      <c r="H218" s="455">
        <v>45625</v>
      </c>
      <c r="I218" s="198">
        <f ca="1">IF(ISBLANK(H218), NETWORKDAYS(F218, TODAY(),fESTIVOS!$A$1:$A$18), NETWORKDAYS(F218, H218, fESTIVOS!$A$1:$A$18))</f>
        <v>5</v>
      </c>
      <c r="J218" s="455">
        <v>45629</v>
      </c>
      <c r="K218" s="455"/>
      <c r="L218" s="456" t="s">
        <v>1301</v>
      </c>
      <c r="M218" s="413"/>
      <c r="N218" s="178"/>
      <c r="O218" s="178"/>
      <c r="P218" s="178"/>
      <c r="Q218" s="178"/>
      <c r="R218" s="178"/>
      <c r="S218" s="178"/>
      <c r="T218" s="178"/>
      <c r="U218" s="178"/>
      <c r="V218" s="178"/>
      <c r="W218" s="178"/>
      <c r="X218" s="178"/>
      <c r="Y218" s="178"/>
      <c r="Z218" s="178"/>
    </row>
    <row r="219" spans="1:26" ht="15.75" customHeight="1">
      <c r="A219" s="216" t="s">
        <v>621</v>
      </c>
      <c r="B219" s="601" t="s">
        <v>1242</v>
      </c>
      <c r="C219" s="559" t="s">
        <v>1302</v>
      </c>
      <c r="D219" s="195" t="s">
        <v>1244</v>
      </c>
      <c r="E219" s="220">
        <v>45574</v>
      </c>
      <c r="F219" s="455">
        <v>45625</v>
      </c>
      <c r="G219" s="455"/>
      <c r="H219" s="455">
        <v>45629</v>
      </c>
      <c r="I219" s="198">
        <f ca="1">IF(ISBLANK(H219), NETWORKDAYS(F219, TODAY(),fESTIVOS!$A$1:$A$18), NETWORKDAYS(F219, H219, fESTIVOS!$A$1:$A$18))</f>
        <v>3</v>
      </c>
      <c r="J219" s="455">
        <v>45629</v>
      </c>
      <c r="K219" s="455"/>
      <c r="L219" s="456" t="s">
        <v>1303</v>
      </c>
      <c r="M219" s="413"/>
      <c r="N219" s="178"/>
      <c r="O219" s="178"/>
      <c r="P219" s="178"/>
      <c r="Q219" s="178"/>
      <c r="R219" s="178"/>
      <c r="S219" s="178"/>
      <c r="T219" s="178"/>
      <c r="U219" s="178"/>
      <c r="V219" s="178"/>
      <c r="W219" s="178"/>
      <c r="X219" s="178"/>
      <c r="Y219" s="178"/>
      <c r="Z219" s="178"/>
    </row>
    <row r="220" spans="1:26" ht="15" hidden="1" customHeight="1">
      <c r="A220" s="216"/>
      <c r="B220" s="603"/>
      <c r="C220" s="604"/>
      <c r="D220" s="605"/>
      <c r="E220" s="574"/>
      <c r="F220" s="455"/>
      <c r="G220" s="455"/>
      <c r="H220" s="455"/>
      <c r="I220" s="198"/>
      <c r="J220" s="455"/>
      <c r="K220" s="455"/>
      <c r="L220" s="456"/>
      <c r="M220" s="413"/>
      <c r="N220" s="178"/>
      <c r="O220" s="178"/>
      <c r="P220" s="178"/>
      <c r="Q220" s="178"/>
      <c r="R220" s="178"/>
      <c r="S220" s="178"/>
      <c r="T220" s="178"/>
      <c r="U220" s="178"/>
      <c r="V220" s="178"/>
      <c r="W220" s="178"/>
      <c r="X220" s="178"/>
      <c r="Y220" s="178"/>
      <c r="Z220" s="178"/>
    </row>
    <row r="221" spans="1:26" ht="15.75" hidden="1" customHeight="1">
      <c r="A221" s="216" t="s">
        <v>621</v>
      </c>
      <c r="B221" s="603"/>
      <c r="C221" s="606" t="s">
        <v>1304</v>
      </c>
      <c r="D221" s="607" t="s">
        <v>624</v>
      </c>
      <c r="E221" s="537">
        <v>45574</v>
      </c>
      <c r="F221" s="455">
        <v>45631</v>
      </c>
      <c r="G221" s="455"/>
      <c r="H221" s="455"/>
      <c r="I221" s="198">
        <f ca="1">IF(ISBLANK(H221), NETWORKDAYS(F221, TODAY(),fESTIVOS!$A$1:$A$18), NETWORKDAYS(F221, H221, fESTIVOS!$A$1:$A$18))</f>
        <v>330</v>
      </c>
      <c r="J221" s="455"/>
      <c r="K221" s="455"/>
      <c r="L221" s="548" t="s">
        <v>1305</v>
      </c>
      <c r="M221" s="413"/>
      <c r="N221" s="178"/>
      <c r="O221" s="178"/>
      <c r="P221" s="178"/>
      <c r="Q221" s="178"/>
      <c r="R221" s="178"/>
      <c r="S221" s="178"/>
      <c r="T221" s="178"/>
      <c r="U221" s="178"/>
      <c r="V221" s="178"/>
      <c r="W221" s="178"/>
      <c r="X221" s="178"/>
      <c r="Y221" s="178"/>
      <c r="Z221" s="178"/>
    </row>
    <row r="222" spans="1:26" ht="15.75" hidden="1" customHeight="1">
      <c r="A222" s="216" t="s">
        <v>621</v>
      </c>
      <c r="B222" s="603"/>
      <c r="C222" s="606" t="s">
        <v>1306</v>
      </c>
      <c r="D222" s="607" t="s">
        <v>624</v>
      </c>
      <c r="E222" s="537">
        <v>45574</v>
      </c>
      <c r="F222" s="455">
        <v>45631</v>
      </c>
      <c r="G222" s="455"/>
      <c r="H222" s="455"/>
      <c r="I222" s="198">
        <f ca="1">IF(ISBLANK(H222), NETWORKDAYS(F222, TODAY(),fESTIVOS!$A$1:$A$18), NETWORKDAYS(F222, H222, fESTIVOS!$A$1:$A$18))</f>
        <v>330</v>
      </c>
      <c r="J222" s="455"/>
      <c r="K222" s="455"/>
      <c r="L222" s="548" t="s">
        <v>1305</v>
      </c>
      <c r="M222" s="413"/>
      <c r="N222" s="178"/>
      <c r="O222" s="178"/>
      <c r="P222" s="178"/>
      <c r="Q222" s="178"/>
      <c r="R222" s="178"/>
      <c r="S222" s="178"/>
      <c r="T222" s="178"/>
      <c r="U222" s="178"/>
      <c r="V222" s="178"/>
      <c r="W222" s="178"/>
      <c r="X222" s="178"/>
      <c r="Y222" s="178"/>
      <c r="Z222" s="178"/>
    </row>
    <row r="223" spans="1:26" ht="15.75" hidden="1" customHeight="1">
      <c r="A223" s="216" t="s">
        <v>621</v>
      </c>
      <c r="B223" s="603"/>
      <c r="C223" s="608" t="s">
        <v>1307</v>
      </c>
      <c r="D223" s="607" t="s">
        <v>624</v>
      </c>
      <c r="E223" s="537">
        <v>45574</v>
      </c>
      <c r="F223" s="455">
        <v>45631</v>
      </c>
      <c r="G223" s="455"/>
      <c r="H223" s="455"/>
      <c r="I223" s="198">
        <f ca="1">IF(ISBLANK(H223), NETWORKDAYS(F223, TODAY(),fESTIVOS!$A$1:$A$18), NETWORKDAYS(F223, H223, fESTIVOS!$A$1:$A$18))</f>
        <v>330</v>
      </c>
      <c r="J223" s="455"/>
      <c r="K223" s="455"/>
      <c r="L223" s="548" t="s">
        <v>1308</v>
      </c>
      <c r="M223" s="413"/>
      <c r="N223" s="178"/>
      <c r="O223" s="178"/>
      <c r="P223" s="178"/>
      <c r="Q223" s="178"/>
      <c r="R223" s="178"/>
      <c r="S223" s="178"/>
      <c r="T223" s="178"/>
      <c r="U223" s="178"/>
      <c r="V223" s="178"/>
      <c r="W223" s="178"/>
      <c r="X223" s="178"/>
      <c r="Y223" s="178"/>
      <c r="Z223" s="178"/>
    </row>
    <row r="224" spans="1:26" ht="15.75" hidden="1" customHeight="1">
      <c r="A224" s="495" t="s">
        <v>621</v>
      </c>
      <c r="B224" s="603"/>
      <c r="C224" s="609" t="s">
        <v>1309</v>
      </c>
      <c r="D224" s="607" t="s">
        <v>624</v>
      </c>
      <c r="E224" s="610">
        <v>45574</v>
      </c>
      <c r="F224" s="475">
        <v>45638</v>
      </c>
      <c r="G224" s="475"/>
      <c r="H224" s="475"/>
      <c r="I224" s="499">
        <f ca="1">IF(ISBLANK(H224), NETWORKDAYS(F224, TODAY(),fESTIVOS!$A$1:$A$18), NETWORKDAYS(F224, H224, fESTIVOS!$A$1:$A$18))</f>
        <v>325</v>
      </c>
      <c r="J224" s="475"/>
      <c r="K224" s="475"/>
      <c r="L224" s="611" t="s">
        <v>1310</v>
      </c>
      <c r="M224" s="413"/>
      <c r="N224" s="178"/>
      <c r="O224" s="178"/>
      <c r="P224" s="178"/>
      <c r="Q224" s="178"/>
      <c r="R224" s="178"/>
      <c r="S224" s="178"/>
      <c r="T224" s="178"/>
      <c r="U224" s="178"/>
      <c r="V224" s="178"/>
      <c r="W224" s="178"/>
      <c r="X224" s="178"/>
      <c r="Y224" s="178"/>
      <c r="Z224" s="178"/>
    </row>
    <row r="225" spans="1:26" ht="15.75" hidden="1" customHeight="1">
      <c r="A225" s="216" t="s">
        <v>621</v>
      </c>
      <c r="B225" s="603"/>
      <c r="C225" s="211" t="s">
        <v>1311</v>
      </c>
      <c r="D225" s="607" t="s">
        <v>624</v>
      </c>
      <c r="E225" s="220">
        <v>45636</v>
      </c>
      <c r="F225" s="220">
        <v>45636</v>
      </c>
      <c r="G225" s="220"/>
      <c r="H225" s="220"/>
      <c r="I225" s="198">
        <f ca="1">IF(ISBLANK(H225), NETWORKDAYS(F225, TODAY(),fESTIVOS!$A$1:$A$18), NETWORKDAYS(F225, H225, fESTIVOS!$A$1:$A$18))</f>
        <v>327</v>
      </c>
      <c r="J225" s="220">
        <v>45645</v>
      </c>
      <c r="K225" s="220"/>
      <c r="L225" s="538" t="s">
        <v>1312</v>
      </c>
      <c r="M225" s="413"/>
      <c r="N225" s="178"/>
      <c r="O225" s="178"/>
      <c r="P225" s="178"/>
      <c r="Q225" s="178"/>
      <c r="R225" s="178"/>
      <c r="S225" s="178"/>
      <c r="T225" s="178"/>
      <c r="U225" s="178"/>
      <c r="V225" s="178"/>
      <c r="W225" s="178"/>
      <c r="X225" s="178"/>
      <c r="Y225" s="178"/>
      <c r="Z225" s="178"/>
    </row>
    <row r="226" spans="1:26" ht="15.75" hidden="1" customHeight="1">
      <c r="A226" s="216" t="s">
        <v>621</v>
      </c>
      <c r="B226" s="603"/>
      <c r="C226" s="211" t="s">
        <v>1313</v>
      </c>
      <c r="D226" s="442" t="s">
        <v>46</v>
      </c>
      <c r="E226" s="220">
        <v>45645</v>
      </c>
      <c r="F226" s="220">
        <v>45646</v>
      </c>
      <c r="G226" s="220"/>
      <c r="H226" s="220"/>
      <c r="I226" s="198">
        <f ca="1">IF(ISBLANK(H226), NETWORKDAYS(F226, TODAY(),fESTIVOS!$A$1:$A$18), NETWORKDAYS(F226, H226, fESTIVOS!$A$1:$A$18))</f>
        <v>319</v>
      </c>
      <c r="J226" s="220">
        <v>45664</v>
      </c>
      <c r="K226" s="220"/>
      <c r="L226" s="538" t="s">
        <v>1314</v>
      </c>
      <c r="M226" s="413"/>
      <c r="N226" s="178"/>
      <c r="O226" s="178"/>
      <c r="P226" s="178"/>
      <c r="Q226" s="178"/>
      <c r="R226" s="178"/>
      <c r="S226" s="178"/>
      <c r="T226" s="178"/>
      <c r="U226" s="178"/>
      <c r="V226" s="178"/>
      <c r="W226" s="178"/>
      <c r="X226" s="178"/>
      <c r="Y226" s="178"/>
      <c r="Z226" s="178"/>
    </row>
    <row r="227" spans="1:26" ht="15.75" hidden="1" customHeight="1">
      <c r="A227" s="216" t="s">
        <v>621</v>
      </c>
      <c r="B227" s="612"/>
      <c r="C227" s="211" t="s">
        <v>1315</v>
      </c>
      <c r="D227" s="442" t="s">
        <v>46</v>
      </c>
      <c r="E227" s="220">
        <v>45652</v>
      </c>
      <c r="F227" s="220">
        <v>45652</v>
      </c>
      <c r="G227" s="220"/>
      <c r="H227" s="220"/>
      <c r="I227" s="198">
        <f ca="1">IF(ISBLANK(H227), NETWORKDAYS(F227, TODAY(),fESTIVOS!$A$1:$A$18), NETWORKDAYS(F227, H227, fESTIVOS!$A$1:$A$18))</f>
        <v>316</v>
      </c>
      <c r="J227" s="220">
        <v>45664</v>
      </c>
      <c r="K227" s="220"/>
      <c r="L227" s="538" t="s">
        <v>1316</v>
      </c>
      <c r="M227" s="413"/>
      <c r="N227" s="178"/>
      <c r="O227" s="178"/>
      <c r="P227" s="178"/>
      <c r="Q227" s="178"/>
      <c r="R227" s="178"/>
      <c r="S227" s="178"/>
      <c r="T227" s="178"/>
      <c r="U227" s="178"/>
      <c r="V227" s="178"/>
      <c r="W227" s="178"/>
      <c r="X227" s="178"/>
      <c r="Y227" s="178"/>
      <c r="Z227" s="178"/>
    </row>
    <row r="228" spans="1:26" ht="15.75" customHeight="1">
      <c r="A228" s="201" t="s">
        <v>869</v>
      </c>
      <c r="B228" s="201" t="s">
        <v>1208</v>
      </c>
      <c r="C228" s="222" t="s">
        <v>1317</v>
      </c>
      <c r="D228" s="442" t="s">
        <v>989</v>
      </c>
      <c r="E228" s="220">
        <v>45678</v>
      </c>
      <c r="F228" s="220">
        <v>45678</v>
      </c>
      <c r="G228" s="220"/>
      <c r="H228" s="220">
        <v>45678</v>
      </c>
      <c r="I228" s="613">
        <f ca="1">IF(ISBLANK(H228), NETWORKDAYS(F228, TODAY(),fESTIVOS!$A$1:$A$18), NETWORKDAYS(F228, H228, fESTIVOS!$A$1:$A$18))</f>
        <v>1</v>
      </c>
      <c r="J228" s="196">
        <v>45678</v>
      </c>
      <c r="K228" s="460">
        <v>45692</v>
      </c>
      <c r="L228" s="575" t="s">
        <v>1318</v>
      </c>
    </row>
    <row r="229" spans="1:26" ht="15.75" customHeight="1">
      <c r="A229" s="201" t="s">
        <v>869</v>
      </c>
      <c r="B229" s="194" t="s">
        <v>1319</v>
      </c>
      <c r="C229" s="219"/>
      <c r="D229" s="442" t="s">
        <v>9</v>
      </c>
      <c r="E229" s="220">
        <v>45687</v>
      </c>
      <c r="F229" s="220">
        <v>45688</v>
      </c>
      <c r="G229" s="220"/>
      <c r="H229" s="220">
        <v>45688</v>
      </c>
      <c r="I229" s="198">
        <f ca="1">IF(ISBLANK(H229), NETWORKDAYS(F229, TODAY(),fESTIVOS!$A$1:$A$18), NETWORKDAYS(F229, H229, fESTIVOS!$A$1:$A$18))</f>
        <v>1</v>
      </c>
      <c r="J229" s="220"/>
      <c r="K229" s="220"/>
      <c r="L229" s="443" t="s">
        <v>1320</v>
      </c>
      <c r="M229" s="413"/>
      <c r="N229" s="178"/>
      <c r="O229" s="178"/>
      <c r="P229" s="178"/>
      <c r="Q229" s="178"/>
      <c r="R229" s="178"/>
      <c r="S229" s="178"/>
      <c r="T229" s="178"/>
      <c r="U229" s="178"/>
      <c r="V229" s="178"/>
      <c r="W229" s="178"/>
      <c r="X229" s="178"/>
      <c r="Y229" s="178"/>
      <c r="Z229" s="178"/>
    </row>
    <row r="230" spans="1:26" ht="15.75" customHeight="1">
      <c r="A230" s="216" t="s">
        <v>621</v>
      </c>
      <c r="B230" s="444" t="s">
        <v>1321</v>
      </c>
      <c r="C230" s="218"/>
      <c r="D230" s="442" t="s">
        <v>37</v>
      </c>
      <c r="E230" s="220">
        <v>45692</v>
      </c>
      <c r="F230" s="221">
        <v>45693</v>
      </c>
      <c r="G230" s="587"/>
      <c r="H230" s="221">
        <v>45693</v>
      </c>
      <c r="I230" s="198">
        <f ca="1">IF(ISBLANK(H230), NETWORKDAYS(F230, TODAY(),fESTIVOS!$A$1:$A$18), NETWORKDAYS(F230, H230, fESTIVOS!$A$1:$A$18))</f>
        <v>1</v>
      </c>
      <c r="J230" s="218"/>
      <c r="K230" s="447"/>
      <c r="L230" s="407" t="s">
        <v>1322</v>
      </c>
      <c r="M230" s="223"/>
      <c r="N230" s="223"/>
      <c r="O230" s="223"/>
      <c r="P230" s="223"/>
      <c r="Q230" s="223"/>
      <c r="R230" s="223"/>
      <c r="S230" s="223"/>
      <c r="T230" s="223"/>
      <c r="U230" s="223"/>
      <c r="V230" s="223"/>
      <c r="W230" s="223"/>
      <c r="X230" s="223"/>
      <c r="Y230" s="223"/>
      <c r="Z230" s="223"/>
    </row>
    <row r="231" spans="1:26" ht="15.75" customHeight="1">
      <c r="A231" s="201" t="s">
        <v>869</v>
      </c>
      <c r="B231" s="194" t="s">
        <v>1323</v>
      </c>
      <c r="C231" s="219"/>
      <c r="D231" s="442" t="s">
        <v>37</v>
      </c>
      <c r="E231" s="220">
        <v>45692</v>
      </c>
      <c r="F231" s="220">
        <v>45693</v>
      </c>
      <c r="G231" s="220"/>
      <c r="H231" s="220">
        <v>45693</v>
      </c>
      <c r="I231" s="198">
        <f ca="1">IF(ISBLANK(H231), NETWORKDAYS(F231, TODAY(),fESTIVOS!$A$1:$A$18), NETWORKDAYS(F231, H231, fESTIVOS!$A$1:$A$18))</f>
        <v>1</v>
      </c>
      <c r="J231" s="220"/>
      <c r="K231" s="220">
        <v>45693</v>
      </c>
      <c r="L231" s="538" t="s">
        <v>1324</v>
      </c>
      <c r="M231" s="413"/>
      <c r="N231" s="178"/>
      <c r="O231" s="178"/>
      <c r="P231" s="178"/>
      <c r="Q231" s="178"/>
      <c r="R231" s="178"/>
      <c r="S231" s="178"/>
      <c r="T231" s="178"/>
      <c r="U231" s="178"/>
      <c r="V231" s="178"/>
      <c r="W231" s="178"/>
      <c r="X231" s="178"/>
      <c r="Y231" s="178"/>
      <c r="Z231" s="178"/>
    </row>
    <row r="232" spans="1:26" ht="15.75" customHeight="1">
      <c r="A232" s="201" t="s">
        <v>869</v>
      </c>
      <c r="B232" s="194" t="s">
        <v>1325</v>
      </c>
      <c r="C232" s="219"/>
      <c r="D232" s="442" t="s">
        <v>37</v>
      </c>
      <c r="E232" s="220">
        <v>45692</v>
      </c>
      <c r="F232" s="220">
        <v>45693</v>
      </c>
      <c r="G232" s="220"/>
      <c r="H232" s="220">
        <v>45693</v>
      </c>
      <c r="I232" s="198">
        <f ca="1">IF(ISBLANK(H232), NETWORKDAYS(F232, TODAY(),fESTIVOS!$A$1:$A$18), NETWORKDAYS(F232, H232, fESTIVOS!$A$1:$A$18))</f>
        <v>1</v>
      </c>
      <c r="J232" s="220"/>
      <c r="K232" s="220">
        <v>45693</v>
      </c>
      <c r="L232" s="538" t="s">
        <v>1324</v>
      </c>
      <c r="M232" s="413"/>
      <c r="N232" s="178"/>
      <c r="O232" s="178"/>
      <c r="P232" s="178"/>
      <c r="Q232" s="178"/>
      <c r="R232" s="178"/>
      <c r="S232" s="178"/>
      <c r="T232" s="178"/>
      <c r="U232" s="178"/>
      <c r="V232" s="178"/>
      <c r="W232" s="178"/>
      <c r="X232" s="178"/>
      <c r="Y232" s="178"/>
      <c r="Z232" s="178"/>
    </row>
    <row r="233" spans="1:26" ht="15.75" customHeight="1">
      <c r="A233" s="216" t="s">
        <v>621</v>
      </c>
      <c r="B233" s="444" t="s">
        <v>1326</v>
      </c>
      <c r="C233" s="575" t="s">
        <v>1327</v>
      </c>
      <c r="D233" s="195" t="s">
        <v>37</v>
      </c>
      <c r="E233" s="220">
        <v>45698</v>
      </c>
      <c r="F233" s="220">
        <v>45698</v>
      </c>
      <c r="G233" s="196"/>
      <c r="H233" s="442"/>
      <c r="I233" s="198">
        <f ca="1">IF(ISBLANK(H233), NETWORKDAYS(F233, TODAY(),fESTIVOS!$A$1:$A$18), NETWORKDAYS(F233, H233, fESTIVOS!$A$1:$A$18))</f>
        <v>284</v>
      </c>
      <c r="J233" s="218"/>
      <c r="K233" s="587"/>
      <c r="L233" s="614"/>
      <c r="M233" s="223"/>
      <c r="N233" s="223"/>
      <c r="O233" s="223"/>
      <c r="P233" s="223"/>
      <c r="Q233" s="223"/>
      <c r="R233" s="223"/>
      <c r="S233" s="223"/>
      <c r="T233" s="223"/>
      <c r="U233" s="223"/>
      <c r="V233" s="223"/>
      <c r="W233" s="223"/>
      <c r="X233" s="223"/>
      <c r="Y233" s="223"/>
      <c r="Z233" s="223"/>
    </row>
    <row r="234" spans="1:26" ht="15.75" customHeight="1">
      <c r="A234" s="216" t="s">
        <v>621</v>
      </c>
      <c r="B234" s="444" t="s">
        <v>1326</v>
      </c>
      <c r="C234" s="615" t="s">
        <v>1328</v>
      </c>
      <c r="D234" s="195" t="s">
        <v>37</v>
      </c>
      <c r="E234" s="220">
        <v>45698</v>
      </c>
      <c r="F234" s="220">
        <v>45698</v>
      </c>
      <c r="G234" s="196"/>
      <c r="H234" s="220">
        <v>45699</v>
      </c>
      <c r="I234" s="198">
        <f ca="1">IF(ISBLANK(H234), NETWORKDAYS(F234, TODAY(),fESTIVOS!$A$1:$A$18), NETWORKDAYS(F234, H234, fESTIVOS!$A$1:$A$18))</f>
        <v>2</v>
      </c>
      <c r="J234" s="218"/>
      <c r="K234" s="587"/>
      <c r="L234" s="614"/>
      <c r="M234" s="223"/>
      <c r="N234" s="223"/>
      <c r="O234" s="223"/>
      <c r="P234" s="223"/>
      <c r="Q234" s="223"/>
      <c r="R234" s="223"/>
      <c r="S234" s="223"/>
      <c r="T234" s="223"/>
      <c r="U234" s="223"/>
      <c r="V234" s="223"/>
      <c r="W234" s="223"/>
      <c r="X234" s="223"/>
      <c r="Y234" s="223"/>
      <c r="Z234" s="223"/>
    </row>
    <row r="235" spans="1:26" ht="15.75" customHeight="1">
      <c r="A235" s="416" t="s">
        <v>596</v>
      </c>
      <c r="B235" s="616" t="s">
        <v>1329</v>
      </c>
      <c r="C235" s="617" t="s">
        <v>1330</v>
      </c>
      <c r="D235" s="400" t="s">
        <v>989</v>
      </c>
      <c r="E235" s="401">
        <v>45684</v>
      </c>
      <c r="F235" s="401">
        <v>45684</v>
      </c>
      <c r="G235" s="401"/>
      <c r="H235" s="401">
        <v>45700</v>
      </c>
      <c r="I235" s="422">
        <f ca="1">IF(ISBLANK(H235), NETWORKDAYS(F235, TODAY(),fESTIVOS!$A$1:$A$18), NETWORKDAYS(F235, H235, fESTIVOS!$A$1:$A$18))</f>
        <v>13</v>
      </c>
      <c r="J235" s="401"/>
      <c r="K235" s="401">
        <v>45700</v>
      </c>
      <c r="L235" s="404" t="s">
        <v>1331</v>
      </c>
      <c r="M235" s="178"/>
      <c r="N235" s="178"/>
      <c r="O235" s="178"/>
      <c r="P235" s="178"/>
      <c r="Q235" s="178"/>
      <c r="R235" s="178"/>
      <c r="S235" s="178"/>
      <c r="T235" s="178"/>
      <c r="U235" s="178"/>
      <c r="V235" s="178"/>
      <c r="W235" s="178"/>
      <c r="X235" s="178"/>
      <c r="Y235" s="178"/>
      <c r="Z235" s="178"/>
    </row>
    <row r="236" spans="1:26" ht="15.75" customHeight="1">
      <c r="A236" s="216" t="s">
        <v>621</v>
      </c>
      <c r="B236" s="444" t="s">
        <v>1332</v>
      </c>
      <c r="C236" s="218"/>
      <c r="D236" s="442" t="s">
        <v>37</v>
      </c>
      <c r="E236" s="220">
        <v>45700</v>
      </c>
      <c r="F236" s="220">
        <v>45700</v>
      </c>
      <c r="G236" s="196"/>
      <c r="H236" s="220">
        <v>45700</v>
      </c>
      <c r="I236" s="198">
        <f ca="1">IF(ISBLANK(H236), NETWORKDAYS(F236, TODAY(),fESTIVOS!$A$1:$A$18), NETWORKDAYS(F236, H236, fESTIVOS!$A$1:$A$18))</f>
        <v>1</v>
      </c>
      <c r="J236" s="218"/>
      <c r="K236" s="218"/>
      <c r="L236" s="538"/>
      <c r="M236" s="223"/>
      <c r="N236" s="223"/>
      <c r="O236" s="223"/>
      <c r="P236" s="223"/>
      <c r="Q236" s="223"/>
      <c r="R236" s="223"/>
      <c r="S236" s="223"/>
      <c r="T236" s="223"/>
      <c r="U236" s="223"/>
      <c r="V236" s="223"/>
      <c r="W236" s="223"/>
      <c r="X236" s="223"/>
      <c r="Y236" s="223"/>
      <c r="Z236" s="223"/>
    </row>
    <row r="237" spans="1:26" ht="15.75" customHeight="1">
      <c r="A237" s="216" t="s">
        <v>621</v>
      </c>
      <c r="B237" s="714" t="s">
        <v>1333</v>
      </c>
      <c r="C237" s="406" t="s">
        <v>623</v>
      </c>
      <c r="D237" s="442" t="s">
        <v>1334</v>
      </c>
      <c r="E237" s="220">
        <v>45665</v>
      </c>
      <c r="F237" s="220">
        <v>45665</v>
      </c>
      <c r="G237" s="220">
        <v>45667</v>
      </c>
      <c r="H237" s="220">
        <v>45670</v>
      </c>
      <c r="I237" s="198">
        <f ca="1">IF(ISBLANK(H237), NETWORKDAYS(F237, TODAY(),fESTIVOS!$A$1:$A$18), NETWORKDAYS(F237, H237, fESTIVOS!$A$1:$A$18))</f>
        <v>4</v>
      </c>
      <c r="J237" s="220"/>
      <c r="K237" s="220"/>
      <c r="L237" s="538"/>
      <c r="M237" s="413"/>
      <c r="N237" s="178"/>
      <c r="O237" s="178"/>
      <c r="P237" s="178"/>
      <c r="Q237" s="178"/>
      <c r="R237" s="178"/>
      <c r="S237" s="178"/>
      <c r="T237" s="178"/>
      <c r="U237" s="178"/>
      <c r="V237" s="178"/>
      <c r="W237" s="178"/>
      <c r="X237" s="178"/>
      <c r="Y237" s="178"/>
      <c r="Z237" s="178"/>
    </row>
    <row r="238" spans="1:26" ht="15.75" customHeight="1">
      <c r="A238" s="216" t="s">
        <v>621</v>
      </c>
      <c r="B238" s="715"/>
      <c r="C238" s="406" t="s">
        <v>1335</v>
      </c>
      <c r="D238" s="195" t="s">
        <v>989</v>
      </c>
      <c r="E238" s="220">
        <v>45665</v>
      </c>
      <c r="F238" s="220">
        <v>45666</v>
      </c>
      <c r="G238" s="220"/>
      <c r="H238" s="220">
        <v>45670</v>
      </c>
      <c r="I238" s="198">
        <f ca="1">IF(ISBLANK(H238), NETWORKDAYS(F238, TODAY(),fESTIVOS!$A$1:$A$18), NETWORKDAYS(F238, H238, fESTIVOS!$A$1:$A$18))</f>
        <v>3</v>
      </c>
      <c r="J238" s="220">
        <v>45670</v>
      </c>
      <c r="K238" s="220"/>
      <c r="L238" s="538" t="s">
        <v>1336</v>
      </c>
      <c r="M238" s="413"/>
      <c r="N238" s="178"/>
      <c r="O238" s="178"/>
      <c r="P238" s="178"/>
      <c r="Q238" s="178"/>
      <c r="R238" s="178"/>
      <c r="S238" s="178"/>
      <c r="T238" s="178"/>
      <c r="U238" s="178"/>
      <c r="V238" s="178"/>
      <c r="W238" s="178"/>
      <c r="X238" s="178"/>
      <c r="Y238" s="178"/>
      <c r="Z238" s="178"/>
    </row>
    <row r="239" spans="1:26" ht="15.75" customHeight="1">
      <c r="A239" s="201" t="s">
        <v>611</v>
      </c>
      <c r="B239" s="201" t="s">
        <v>1337</v>
      </c>
      <c r="C239" s="201" t="s">
        <v>1338</v>
      </c>
      <c r="D239" s="195" t="s">
        <v>37</v>
      </c>
      <c r="E239" s="220">
        <v>45692</v>
      </c>
      <c r="F239" s="202">
        <v>45701</v>
      </c>
      <c r="G239" s="195"/>
      <c r="H239" s="202">
        <v>45701</v>
      </c>
      <c r="I239" s="198">
        <f ca="1">IF(ISBLANK(H239), NETWORKDAYS(F239, TODAY(),fESTIVOS!$A$1:$A$18), NETWORKDAYS(F239, H239, fESTIVOS!$A$1:$A$18))</f>
        <v>1</v>
      </c>
      <c r="J239" s="216"/>
      <c r="K239" s="216"/>
      <c r="L239" s="618" t="s">
        <v>1339</v>
      </c>
      <c r="M239" s="413"/>
      <c r="N239" s="178"/>
      <c r="O239" s="178"/>
      <c r="P239" s="178"/>
      <c r="Q239" s="178"/>
      <c r="R239" s="178"/>
      <c r="S239" s="178"/>
      <c r="T239" s="178"/>
      <c r="U239" s="178"/>
      <c r="V239" s="178"/>
      <c r="W239" s="178"/>
      <c r="X239" s="178"/>
      <c r="Y239" s="178"/>
      <c r="Z239" s="178"/>
    </row>
    <row r="240" spans="1:26" ht="15.75" customHeight="1">
      <c r="A240" s="415" t="s">
        <v>869</v>
      </c>
      <c r="B240" s="424"/>
      <c r="C240" s="557" t="s">
        <v>1340</v>
      </c>
      <c r="D240" s="420" t="s">
        <v>37</v>
      </c>
      <c r="E240" s="489">
        <v>45588</v>
      </c>
      <c r="F240" s="421">
        <v>45631</v>
      </c>
      <c r="G240" s="421"/>
      <c r="H240" s="421">
        <v>45631</v>
      </c>
      <c r="I240" s="422">
        <f ca="1">IF(ISBLANK(H240), NETWORKDAYS(F240, TODAY(),fESTIVOS!$A$1:$A$18), NETWORKDAYS(F240, H240, fESTIVOS!$A$1:$A$18))</f>
        <v>1</v>
      </c>
      <c r="J240" s="421">
        <v>45631</v>
      </c>
      <c r="K240" s="421">
        <v>45631</v>
      </c>
      <c r="L240" s="449" t="s">
        <v>1341</v>
      </c>
      <c r="M240" s="448"/>
      <c r="N240" s="184"/>
      <c r="O240" s="184"/>
      <c r="P240" s="184"/>
      <c r="Q240" s="184"/>
      <c r="R240" s="184"/>
      <c r="S240" s="184"/>
      <c r="T240" s="184"/>
      <c r="U240" s="184"/>
      <c r="V240" s="184"/>
      <c r="W240" s="184"/>
      <c r="X240" s="184"/>
      <c r="Y240" s="184"/>
      <c r="Z240" s="184"/>
    </row>
    <row r="241" spans="1:26" ht="15.75" customHeight="1">
      <c r="A241" s="415" t="s">
        <v>869</v>
      </c>
      <c r="B241" s="424"/>
      <c r="C241" s="557" t="s">
        <v>1342</v>
      </c>
      <c r="D241" s="420" t="s">
        <v>37</v>
      </c>
      <c r="E241" s="489">
        <v>45643</v>
      </c>
      <c r="F241" s="421"/>
      <c r="G241" s="421"/>
      <c r="H241" s="421"/>
      <c r="I241" s="422">
        <f ca="1">IF(ISBLANK(H241), NETWORKDAYS(F241, TODAY(),fESTIVOS!$A$1:$A$18), NETWORKDAYS(F241, H241, fESTIVOS!$A$1:$A$18))</f>
        <v>32908</v>
      </c>
      <c r="J241" s="421"/>
      <c r="K241" s="421"/>
      <c r="L241" s="562" t="s">
        <v>1343</v>
      </c>
      <c r="M241" s="448"/>
      <c r="N241" s="184"/>
      <c r="O241" s="184"/>
      <c r="P241" s="184"/>
      <c r="Q241" s="184"/>
      <c r="R241" s="184"/>
      <c r="S241" s="184"/>
      <c r="T241" s="184"/>
      <c r="U241" s="184"/>
      <c r="V241" s="184"/>
      <c r="W241" s="184"/>
      <c r="X241" s="184"/>
      <c r="Y241" s="184"/>
      <c r="Z241" s="184"/>
    </row>
    <row r="242" spans="1:26" ht="15.75" hidden="1" customHeight="1">
      <c r="D242" s="619"/>
    </row>
    <row r="243" spans="1:26" ht="15.75" hidden="1" customHeight="1">
      <c r="A243" s="192" t="s">
        <v>603</v>
      </c>
      <c r="B243" s="536" t="s">
        <v>1344</v>
      </c>
      <c r="C243" s="441"/>
      <c r="D243" s="442" t="s">
        <v>45</v>
      </c>
      <c r="E243" s="220">
        <v>45686</v>
      </c>
      <c r="F243" s="220">
        <v>45686</v>
      </c>
      <c r="G243" s="220"/>
      <c r="H243" s="220"/>
      <c r="I243" s="198">
        <f ca="1">IF(ISBLANK(H243), NETWORKDAYS(F243, TODAY(),fESTIVOS!$A$1:$A$18), NETWORKDAYS(F243, H243, fESTIVOS!$A$1:$A$18))</f>
        <v>292</v>
      </c>
      <c r="J243" s="220"/>
      <c r="K243" s="220"/>
      <c r="L243" s="443" t="s">
        <v>1345</v>
      </c>
    </row>
    <row r="244" spans="1:26" ht="15.75" hidden="1" customHeight="1">
      <c r="A244" s="192" t="s">
        <v>603</v>
      </c>
      <c r="B244" s="536" t="s">
        <v>1346</v>
      </c>
      <c r="C244" s="441"/>
      <c r="D244" s="442" t="s">
        <v>46</v>
      </c>
      <c r="E244" s="220">
        <v>45593</v>
      </c>
      <c r="F244" s="220">
        <v>45593</v>
      </c>
      <c r="G244" s="220">
        <v>45596</v>
      </c>
      <c r="H244" s="220">
        <v>45601</v>
      </c>
      <c r="I244" s="198">
        <f ca="1">IF(ISBLANK(H244), NETWORKDAYS(F244, TODAY(),fESTIVOS!$A$1:$A$18), NETWORKDAYS(F244, H244, fESTIVOS!$A$1:$A$18))</f>
        <v>6</v>
      </c>
      <c r="J244" s="220">
        <v>45660</v>
      </c>
      <c r="K244" s="220"/>
      <c r="L244" s="443" t="s">
        <v>1347</v>
      </c>
      <c r="M244" s="178"/>
      <c r="N244" s="178"/>
      <c r="O244" s="178"/>
      <c r="P244" s="178"/>
      <c r="Q244" s="178"/>
      <c r="R244" s="178"/>
      <c r="S244" s="178"/>
      <c r="T244" s="178"/>
      <c r="U244" s="178"/>
      <c r="V244" s="178"/>
      <c r="W244" s="178"/>
      <c r="X244" s="178"/>
      <c r="Y244" s="178"/>
      <c r="Z244" s="178"/>
    </row>
    <row r="245" spans="1:26" ht="15.75" hidden="1" customHeight="1">
      <c r="A245" s="201" t="s">
        <v>603</v>
      </c>
      <c r="B245" s="714" t="s">
        <v>1348</v>
      </c>
      <c r="C245" s="441" t="s">
        <v>1349</v>
      </c>
      <c r="D245" s="442" t="s">
        <v>1350</v>
      </c>
      <c r="E245" s="220">
        <v>45615</v>
      </c>
      <c r="F245" s="220">
        <v>45615</v>
      </c>
      <c r="G245" s="220"/>
      <c r="H245" s="220">
        <v>45632</v>
      </c>
      <c r="I245" s="198">
        <f ca="1">IF(ISBLANK(H245), NETWORKDAYS(F245, TODAY(),fESTIVOS!$A$1:$A$18), NETWORKDAYS(F245, H245, fESTIVOS!$A$1:$A$18))</f>
        <v>14</v>
      </c>
      <c r="J245" s="220"/>
      <c r="K245" s="220"/>
      <c r="L245" s="443" t="s">
        <v>1351</v>
      </c>
      <c r="M245" s="178"/>
      <c r="N245" s="178"/>
      <c r="O245" s="178"/>
      <c r="P245" s="178"/>
      <c r="Q245" s="178"/>
      <c r="R245" s="178"/>
      <c r="S245" s="178"/>
      <c r="T245" s="178"/>
      <c r="U245" s="178"/>
      <c r="V245" s="178"/>
      <c r="W245" s="178"/>
      <c r="X245" s="178"/>
      <c r="Y245" s="178"/>
      <c r="Z245" s="178"/>
    </row>
    <row r="246" spans="1:26" ht="15.75" hidden="1" customHeight="1">
      <c r="A246" s="201" t="s">
        <v>603</v>
      </c>
      <c r="B246" s="715"/>
      <c r="C246" s="219" t="s">
        <v>1352</v>
      </c>
      <c r="D246" s="442" t="s">
        <v>37</v>
      </c>
      <c r="E246" s="220">
        <v>45636</v>
      </c>
      <c r="F246" s="220">
        <v>45637</v>
      </c>
      <c r="G246" s="220">
        <v>45638</v>
      </c>
      <c r="H246" s="220">
        <v>45642</v>
      </c>
      <c r="I246" s="198">
        <f ca="1">IF(ISBLANK(H246), NETWORKDAYS(F246, TODAY(),fESTIVOS!$A$1:$A$18), NETWORKDAYS(F246, H246, fESTIVOS!$A$1:$A$18))</f>
        <v>4</v>
      </c>
      <c r="J246" s="220"/>
      <c r="K246" s="220"/>
      <c r="L246" s="443" t="s">
        <v>1353</v>
      </c>
      <c r="M246" s="178"/>
      <c r="N246" s="178"/>
      <c r="O246" s="178"/>
      <c r="P246" s="178"/>
      <c r="Q246" s="178"/>
      <c r="R246" s="178"/>
      <c r="S246" s="178"/>
      <c r="T246" s="178"/>
      <c r="U246" s="178"/>
      <c r="V246" s="178"/>
      <c r="W246" s="178"/>
      <c r="X246" s="178"/>
      <c r="Y246" s="178"/>
      <c r="Z246" s="178"/>
    </row>
    <row r="247" spans="1:26" ht="30" hidden="1" customHeight="1">
      <c r="A247" s="201" t="s">
        <v>603</v>
      </c>
      <c r="B247" s="194" t="s">
        <v>1083</v>
      </c>
      <c r="C247" s="490" t="s">
        <v>1354</v>
      </c>
      <c r="D247" s="195" t="s">
        <v>40</v>
      </c>
      <c r="E247" s="220"/>
      <c r="F247" s="220"/>
      <c r="G247" s="220"/>
      <c r="H247" s="442">
        <v>0</v>
      </c>
      <c r="I247" s="198">
        <f ca="1">IF(ISBLANK(H247), NETWORKDAYS(F247, TODAY(),fESTIVOS!$A$1:$A$18), NETWORKDAYS(F247, H247, fESTIVOS!$A$1:$A$18))</f>
        <v>0</v>
      </c>
      <c r="J247" s="220"/>
      <c r="K247" s="220"/>
      <c r="L247" s="443"/>
      <c r="M247" s="178"/>
      <c r="N247" s="178"/>
      <c r="O247" s="178"/>
      <c r="P247" s="178"/>
      <c r="Q247" s="178"/>
      <c r="R247" s="178"/>
      <c r="S247" s="178"/>
      <c r="T247" s="178"/>
      <c r="U247" s="178"/>
      <c r="V247" s="178"/>
      <c r="W247" s="178"/>
      <c r="X247" s="178"/>
      <c r="Y247" s="178"/>
      <c r="Z247" s="178"/>
    </row>
    <row r="248" spans="1:26" ht="15.75" hidden="1" customHeight="1">
      <c r="A248" s="620" t="s">
        <v>1355</v>
      </c>
      <c r="B248" s="399" t="s">
        <v>1356</v>
      </c>
      <c r="C248" s="479" t="s">
        <v>1357</v>
      </c>
      <c r="D248" s="400" t="s">
        <v>40</v>
      </c>
      <c r="E248" s="401"/>
      <c r="F248" s="401"/>
      <c r="G248" s="401"/>
      <c r="H248" s="400">
        <v>0</v>
      </c>
      <c r="I248" s="464">
        <f ca="1">IF(ISBLANK(H248), NETWORKDAYS(F248, TODAY(),fESTIVOS!$A$1:$A$18), NETWORKDAYS(F248, H248, fESTIVOS!$A$1:$A$18))</f>
        <v>0</v>
      </c>
      <c r="J248" s="401"/>
      <c r="K248" s="401"/>
      <c r="L248" s="404" t="s">
        <v>1358</v>
      </c>
      <c r="M248" s="413"/>
      <c r="N248" s="178"/>
      <c r="O248" s="178"/>
      <c r="P248" s="178"/>
      <c r="Q248" s="178"/>
      <c r="R248" s="178"/>
      <c r="S248" s="178"/>
      <c r="T248" s="178"/>
      <c r="U248" s="178"/>
      <c r="V248" s="178"/>
      <c r="W248" s="178"/>
      <c r="X248" s="178"/>
      <c r="Y248" s="178"/>
      <c r="Z248" s="178"/>
    </row>
    <row r="249" spans="1:26" ht="15.75" customHeight="1">
      <c r="A249" s="412" t="s">
        <v>869</v>
      </c>
      <c r="B249" s="406" t="s">
        <v>1359</v>
      </c>
      <c r="C249" s="396"/>
      <c r="D249" s="189" t="s">
        <v>37</v>
      </c>
      <c r="E249" s="188">
        <v>45664</v>
      </c>
      <c r="F249" s="188"/>
      <c r="G249" s="188"/>
      <c r="H249" s="188">
        <v>45674</v>
      </c>
      <c r="I249" s="190">
        <f ca="1">IF(ISBLANK(H249), NETWORKDAYS(F249, TODAY(),fESTIVOS!$A$1:$A$18), NETWORKDAYS(F249, H249, fESTIVOS!$A$1:$A$18))</f>
        <v>32609</v>
      </c>
      <c r="J249" s="188"/>
      <c r="K249" s="188"/>
      <c r="L249" s="191"/>
      <c r="M249" s="413"/>
      <c r="N249" s="178"/>
      <c r="O249" s="178"/>
      <c r="P249" s="178"/>
      <c r="Q249" s="178"/>
      <c r="R249" s="178"/>
      <c r="S249" s="178"/>
      <c r="T249" s="178"/>
      <c r="U249" s="178"/>
      <c r="V249" s="178"/>
      <c r="W249" s="178"/>
      <c r="X249" s="178"/>
      <c r="Y249" s="178"/>
      <c r="Z249" s="178"/>
    </row>
    <row r="250" spans="1:26" ht="15.75" customHeight="1">
      <c r="A250" s="201" t="s">
        <v>611</v>
      </c>
      <c r="B250" s="225" t="s">
        <v>1360</v>
      </c>
      <c r="C250" s="195" t="s">
        <v>1361</v>
      </c>
      <c r="D250" s="201" t="s">
        <v>37</v>
      </c>
      <c r="E250" s="220">
        <v>45664</v>
      </c>
      <c r="F250" s="220">
        <v>45667</v>
      </c>
      <c r="G250" s="220">
        <v>45670</v>
      </c>
      <c r="H250" s="220">
        <v>45670</v>
      </c>
      <c r="I250" s="198">
        <f ca="1">IF(ISBLANK(H250), NETWORKDAYS(F250, TODAY(),fESTIVOS!$A$1:$A$18), NETWORKDAYS(F250, H250, fESTIVOS!$A$1:$A$18))</f>
        <v>2</v>
      </c>
      <c r="J250" s="442"/>
      <c r="K250" s="442"/>
      <c r="L250" s="219" t="s">
        <v>1362</v>
      </c>
      <c r="M250" s="178"/>
      <c r="N250" s="178"/>
      <c r="O250" s="178"/>
      <c r="P250" s="178"/>
      <c r="Q250" s="178"/>
      <c r="R250" s="178"/>
      <c r="S250" s="178"/>
      <c r="T250" s="178"/>
      <c r="U250" s="178"/>
      <c r="V250" s="178"/>
      <c r="W250" s="178"/>
      <c r="X250" s="178"/>
      <c r="Y250" s="178"/>
      <c r="Z250" s="178"/>
    </row>
    <row r="251" spans="1:26" ht="15.75" customHeight="1">
      <c r="A251" s="439" t="s">
        <v>611</v>
      </c>
      <c r="B251" s="201" t="s">
        <v>1363</v>
      </c>
      <c r="C251" s="216"/>
      <c r="D251" s="543" t="s">
        <v>989</v>
      </c>
      <c r="E251" s="202">
        <v>45665</v>
      </c>
      <c r="F251" s="202">
        <v>45670</v>
      </c>
      <c r="G251" s="220">
        <v>45325</v>
      </c>
      <c r="H251" s="202">
        <v>45672</v>
      </c>
      <c r="I251" s="198">
        <f ca="1">IF(ISBLANK(H251), NETWORKDAYS(F251, TODAY(),fESTIVOS!$A$1:$A$18), NETWORKDAYS(F251, H251, fESTIVOS!$A$1:$A$18))</f>
        <v>3</v>
      </c>
      <c r="J251" s="202">
        <v>45672</v>
      </c>
      <c r="K251" s="202">
        <v>45673</v>
      </c>
      <c r="L251" s="443" t="s">
        <v>1364</v>
      </c>
      <c r="M251" s="413"/>
      <c r="N251" s="178"/>
      <c r="O251" s="178"/>
      <c r="P251" s="178"/>
      <c r="Q251" s="178"/>
      <c r="R251" s="178"/>
      <c r="S251" s="178"/>
      <c r="T251" s="178"/>
      <c r="U251" s="178"/>
      <c r="V251" s="178"/>
      <c r="W251" s="178"/>
      <c r="X251" s="178"/>
      <c r="Y251" s="178"/>
      <c r="Z251" s="178"/>
    </row>
    <row r="252" spans="1:26" ht="15.75" customHeight="1">
      <c r="A252" s="201" t="s">
        <v>869</v>
      </c>
      <c r="B252" s="571" t="s">
        <v>1208</v>
      </c>
      <c r="C252" s="219" t="s">
        <v>1365</v>
      </c>
      <c r="D252" s="442" t="s">
        <v>37</v>
      </c>
      <c r="E252" s="220">
        <v>45693</v>
      </c>
      <c r="F252" s="220">
        <v>45693</v>
      </c>
      <c r="G252" s="220"/>
      <c r="H252" s="442"/>
      <c r="I252" s="198">
        <f ca="1">IF(ISBLANK(H252), NETWORKDAYS(F252, TODAY(),fESTIVOS!$A$1:$A$18), NETWORKDAYS(F252, H252, fESTIVOS!$A$1:$A$18))</f>
        <v>287</v>
      </c>
      <c r="J252" s="220"/>
      <c r="K252" s="220"/>
      <c r="L252" s="443" t="s">
        <v>1366</v>
      </c>
      <c r="M252" s="413"/>
      <c r="N252" s="178"/>
      <c r="O252" s="178"/>
      <c r="P252" s="178"/>
      <c r="Q252" s="178"/>
      <c r="R252" s="178"/>
      <c r="S252" s="178"/>
      <c r="T252" s="178"/>
      <c r="U252" s="178"/>
      <c r="V252" s="178"/>
      <c r="W252" s="178"/>
      <c r="X252" s="178"/>
      <c r="Y252" s="178"/>
      <c r="Z252" s="178"/>
    </row>
    <row r="253" spans="1:26" ht="15.75" customHeight="1">
      <c r="A253" s="201" t="s">
        <v>611</v>
      </c>
      <c r="B253" s="217" t="s">
        <v>1367</v>
      </c>
      <c r="C253" s="195" t="s">
        <v>1368</v>
      </c>
      <c r="D253" s="195" t="s">
        <v>37</v>
      </c>
      <c r="E253" s="220">
        <v>45636</v>
      </c>
      <c r="F253" s="220">
        <v>45637</v>
      </c>
      <c r="G253" s="442"/>
      <c r="H253" s="442"/>
      <c r="I253" s="198">
        <f ca="1">IF(ISBLANK(H253), NETWORKDAYS(F253, TODAY(),fESTIVOS!$A$1:$A$18), NETWORKDAYS(F253, H253, fESTIVOS!$A$1:$A$18))</f>
        <v>326</v>
      </c>
      <c r="J253" s="442"/>
      <c r="K253" s="442"/>
      <c r="L253" s="219" t="s">
        <v>1369</v>
      </c>
      <c r="M253" s="178"/>
      <c r="N253" s="178"/>
      <c r="O253" s="178"/>
      <c r="P253" s="178"/>
      <c r="Q253" s="178"/>
      <c r="R253" s="178"/>
      <c r="S253" s="178"/>
      <c r="T253" s="178"/>
      <c r="U253" s="178"/>
      <c r="V253" s="178"/>
      <c r="W253" s="178"/>
      <c r="X253" s="178"/>
      <c r="Y253" s="178"/>
      <c r="Z253" s="178"/>
    </row>
    <row r="254" spans="1:26" ht="15.75" customHeight="1">
      <c r="A254" s="201" t="s">
        <v>611</v>
      </c>
      <c r="B254" s="225"/>
      <c r="C254" s="195" t="s">
        <v>1370</v>
      </c>
      <c r="D254" s="201" t="s">
        <v>45</v>
      </c>
      <c r="E254" s="220">
        <v>45660</v>
      </c>
      <c r="F254" s="220">
        <v>45666</v>
      </c>
      <c r="G254" s="220">
        <v>45667</v>
      </c>
      <c r="H254" s="220">
        <v>45702</v>
      </c>
      <c r="I254" s="198">
        <f ca="1">IF(ISBLANK(H254), NETWORKDAYS(F254, TODAY(),fESTIVOS!$A$1:$A$18), NETWORKDAYS(F254, H254, fESTIVOS!$A$1:$A$18))</f>
        <v>27</v>
      </c>
      <c r="J254" s="442"/>
      <c r="K254" s="442"/>
      <c r="L254" s="219" t="s">
        <v>1371</v>
      </c>
      <c r="M254" s="178"/>
      <c r="N254" s="178"/>
      <c r="O254" s="178"/>
      <c r="P254" s="178"/>
      <c r="Q254" s="178"/>
      <c r="R254" s="178"/>
      <c r="S254" s="178"/>
      <c r="T254" s="178"/>
      <c r="U254" s="178"/>
      <c r="V254" s="178"/>
      <c r="W254" s="178"/>
      <c r="X254" s="178"/>
      <c r="Y254" s="178"/>
      <c r="Z254" s="178"/>
    </row>
    <row r="255" spans="1:26" ht="15.75" customHeight="1">
      <c r="A255" s="595" t="s">
        <v>596</v>
      </c>
      <c r="B255" s="621" t="s">
        <v>1372</v>
      </c>
      <c r="C255" s="452"/>
      <c r="D255" s="434" t="s">
        <v>482</v>
      </c>
      <c r="E255" s="458">
        <v>45678</v>
      </c>
      <c r="F255" s="458">
        <v>45680</v>
      </c>
      <c r="G255" s="458"/>
      <c r="H255" s="458">
        <v>45680</v>
      </c>
      <c r="I255" s="403">
        <f ca="1">IF(ISBLANK(H255), NETWORKDAYS(F255, TODAY(),fESTIVOS!$A$1:$A$18), NETWORKDAYS(F255, H255, fESTIVOS!$A$1:$A$18))</f>
        <v>1</v>
      </c>
      <c r="J255" s="458">
        <v>45686</v>
      </c>
      <c r="K255" s="458">
        <v>45706</v>
      </c>
      <c r="L255" s="459" t="s">
        <v>1373</v>
      </c>
      <c r="M255" s="178"/>
      <c r="N255" s="178"/>
      <c r="O255" s="178"/>
      <c r="P255" s="178"/>
      <c r="Q255" s="178"/>
      <c r="R255" s="178"/>
      <c r="S255" s="178"/>
      <c r="T255" s="178"/>
      <c r="U255" s="178"/>
      <c r="V255" s="178"/>
      <c r="W255" s="178"/>
      <c r="X255" s="178"/>
      <c r="Y255" s="178"/>
      <c r="Z255" s="178"/>
    </row>
    <row r="256" spans="1:26" ht="15.75" customHeight="1">
      <c r="A256" s="201" t="s">
        <v>869</v>
      </c>
      <c r="B256" s="194" t="s">
        <v>1374</v>
      </c>
      <c r="C256" s="219"/>
      <c r="D256" s="442" t="s">
        <v>37</v>
      </c>
      <c r="E256" s="220">
        <v>45707</v>
      </c>
      <c r="F256" s="220">
        <v>45707</v>
      </c>
      <c r="G256" s="220"/>
      <c r="H256" s="220">
        <v>45708</v>
      </c>
      <c r="I256" s="198">
        <f ca="1">IF(ISBLANK(H256), NETWORKDAYS(F256, TODAY(),fESTIVOS!$A$1:$A$18), NETWORKDAYS(F256, H256, fESTIVOS!$A$1:$A$18))</f>
        <v>2</v>
      </c>
      <c r="J256" s="220"/>
      <c r="K256" s="220">
        <v>45708</v>
      </c>
      <c r="L256" s="443" t="s">
        <v>1375</v>
      </c>
      <c r="M256" s="413"/>
      <c r="N256" s="178"/>
      <c r="O256" s="178"/>
      <c r="P256" s="178"/>
      <c r="Q256" s="178"/>
      <c r="R256" s="178"/>
      <c r="S256" s="178"/>
      <c r="T256" s="178"/>
      <c r="U256" s="178"/>
      <c r="V256" s="178"/>
      <c r="W256" s="178"/>
      <c r="X256" s="178"/>
      <c r="Y256" s="178"/>
      <c r="Z256" s="178"/>
    </row>
    <row r="257" spans="1:33" ht="15.75" customHeight="1">
      <c r="A257" s="201" t="s">
        <v>869</v>
      </c>
      <c r="B257" s="194" t="s">
        <v>1376</v>
      </c>
      <c r="C257" s="219"/>
      <c r="D257" s="442" t="s">
        <v>37</v>
      </c>
      <c r="E257" s="220">
        <v>45707</v>
      </c>
      <c r="F257" s="220">
        <v>45707</v>
      </c>
      <c r="G257" s="220"/>
      <c r="H257" s="220">
        <v>45708</v>
      </c>
      <c r="I257" s="198">
        <f ca="1">IF(ISBLANK(H257), NETWORKDAYS(F257, TODAY(),fESTIVOS!$A$1:$A$18), NETWORKDAYS(F257, H257, fESTIVOS!$A$1:$A$18))</f>
        <v>2</v>
      </c>
      <c r="J257" s="220"/>
      <c r="K257" s="220">
        <v>45708</v>
      </c>
      <c r="L257" s="538" t="s">
        <v>1377</v>
      </c>
      <c r="M257" s="413"/>
      <c r="N257" s="178"/>
      <c r="O257" s="178"/>
      <c r="P257" s="178"/>
      <c r="Q257" s="178"/>
      <c r="R257" s="178"/>
      <c r="S257" s="178"/>
      <c r="T257" s="178"/>
      <c r="U257" s="178"/>
      <c r="V257" s="178"/>
      <c r="W257" s="178"/>
      <c r="X257" s="178"/>
      <c r="Y257" s="178"/>
      <c r="Z257" s="178"/>
    </row>
    <row r="258" spans="1:33" ht="15.75" customHeight="1">
      <c r="A258" s="201" t="s">
        <v>869</v>
      </c>
      <c r="B258" s="194" t="s">
        <v>1378</v>
      </c>
      <c r="C258" s="219"/>
      <c r="D258" s="442" t="s">
        <v>37</v>
      </c>
      <c r="E258" s="220">
        <v>45707</v>
      </c>
      <c r="F258" s="220">
        <v>45707</v>
      </c>
      <c r="G258" s="220"/>
      <c r="H258" s="220">
        <v>45708</v>
      </c>
      <c r="I258" s="198">
        <f ca="1">IF(ISBLANK(H258), NETWORKDAYS(F258, TODAY(),fESTIVOS!$A$1:$A$18), NETWORKDAYS(F258, H258, fESTIVOS!$A$1:$A$18))</f>
        <v>2</v>
      </c>
      <c r="J258" s="220"/>
      <c r="K258" s="220"/>
      <c r="L258" s="538" t="s">
        <v>1379</v>
      </c>
      <c r="M258" s="413"/>
      <c r="N258" s="178"/>
      <c r="O258" s="178"/>
      <c r="P258" s="178"/>
      <c r="Q258" s="178"/>
      <c r="R258" s="178"/>
      <c r="S258" s="178"/>
      <c r="T258" s="178"/>
      <c r="U258" s="178"/>
      <c r="V258" s="178"/>
      <c r="W258" s="178"/>
      <c r="X258" s="178"/>
      <c r="Y258" s="178"/>
      <c r="Z258" s="178"/>
    </row>
    <row r="259" spans="1:33" ht="15.75" customHeight="1">
      <c r="A259" s="216" t="s">
        <v>596</v>
      </c>
      <c r="B259" s="444" t="s">
        <v>1380</v>
      </c>
      <c r="C259" s="441"/>
      <c r="D259" s="442" t="s">
        <v>37</v>
      </c>
      <c r="E259" s="220">
        <v>45706</v>
      </c>
      <c r="F259" s="220">
        <v>45706</v>
      </c>
      <c r="G259" s="220"/>
      <c r="H259" s="220">
        <v>45707</v>
      </c>
      <c r="I259" s="198">
        <f ca="1">IF(ISBLANK(H259), NETWORKDAYS(F259, TODAY(),fESTIVOS!$A$1:$A$18), NETWORKDAYS(F259, H259, fESTIVOS!$A$1:$A$18))</f>
        <v>2</v>
      </c>
      <c r="J259" s="220"/>
      <c r="K259" s="220">
        <v>45707</v>
      </c>
      <c r="L259" s="443" t="s">
        <v>1381</v>
      </c>
      <c r="M259" s="178"/>
      <c r="N259" s="178"/>
      <c r="O259" s="178"/>
      <c r="P259" s="178"/>
      <c r="Q259" s="178"/>
      <c r="R259" s="178"/>
      <c r="S259" s="178"/>
      <c r="T259" s="178"/>
      <c r="U259" s="178"/>
      <c r="V259" s="178"/>
      <c r="W259" s="178"/>
      <c r="X259" s="178"/>
      <c r="Y259" s="178"/>
      <c r="Z259" s="178"/>
    </row>
    <row r="260" spans="1:33" ht="15.75" customHeight="1">
      <c r="A260" s="216" t="s">
        <v>621</v>
      </c>
      <c r="B260" s="571" t="s">
        <v>1242</v>
      </c>
      <c r="C260" s="219" t="s">
        <v>1382</v>
      </c>
      <c r="D260" s="195" t="s">
        <v>37</v>
      </c>
      <c r="E260" s="220">
        <v>45597</v>
      </c>
      <c r="F260" s="220"/>
      <c r="G260" s="220"/>
      <c r="H260" s="442">
        <v>0</v>
      </c>
      <c r="I260" s="198">
        <f ca="1">IF(ISBLANK(H260), NETWORKDAYS(F260, TODAY(),fESTIVOS!$A$1:$A$18), NETWORKDAYS(F260, H260, fESTIVOS!$A$1:$A$18))</f>
        <v>0</v>
      </c>
      <c r="J260" s="220"/>
      <c r="K260" s="220"/>
      <c r="L260" s="443"/>
      <c r="M260" s="413"/>
      <c r="N260" s="178"/>
      <c r="O260" s="178"/>
      <c r="P260" s="178"/>
      <c r="Q260" s="178"/>
      <c r="R260" s="178"/>
      <c r="S260" s="178"/>
      <c r="T260" s="178"/>
      <c r="U260" s="178"/>
      <c r="V260" s="178"/>
      <c r="W260" s="178"/>
      <c r="X260" s="178"/>
      <c r="Y260" s="178"/>
      <c r="Z260" s="178"/>
    </row>
    <row r="261" spans="1:33" ht="15.75" customHeight="1">
      <c r="A261" s="216" t="s">
        <v>621</v>
      </c>
      <c r="B261" s="444" t="s">
        <v>1326</v>
      </c>
      <c r="C261" s="615" t="s">
        <v>1383</v>
      </c>
      <c r="D261" s="195" t="s">
        <v>482</v>
      </c>
      <c r="E261" s="220">
        <v>45698</v>
      </c>
      <c r="F261" s="220">
        <v>45698</v>
      </c>
      <c r="G261" s="196"/>
      <c r="H261" s="442"/>
      <c r="I261" s="198">
        <f ca="1">IF(ISBLANK(H261), NETWORKDAYS(F261, TODAY(),fESTIVOS!$A$1:$A$18), NETWORKDAYS(F261, H261, fESTIVOS!$A$1:$A$18))</f>
        <v>284</v>
      </c>
      <c r="J261" s="218"/>
      <c r="K261" s="587">
        <v>45698</v>
      </c>
      <c r="L261" s="614" t="s">
        <v>1384</v>
      </c>
      <c r="M261" s="223"/>
      <c r="N261" s="223"/>
      <c r="O261" s="223"/>
      <c r="P261" s="223"/>
      <c r="Q261" s="223"/>
      <c r="R261" s="223"/>
      <c r="S261" s="223"/>
      <c r="T261" s="223"/>
      <c r="U261" s="223"/>
      <c r="V261" s="223"/>
      <c r="W261" s="223"/>
      <c r="X261" s="223"/>
      <c r="Y261" s="223"/>
      <c r="Z261" s="223"/>
    </row>
    <row r="262" spans="1:33" ht="15.75" customHeight="1">
      <c r="A262" s="216" t="s">
        <v>621</v>
      </c>
      <c r="B262" s="444" t="s">
        <v>1326</v>
      </c>
      <c r="C262" s="408" t="s">
        <v>1385</v>
      </c>
      <c r="D262" s="195" t="s">
        <v>37</v>
      </c>
      <c r="E262" s="220">
        <v>45707</v>
      </c>
      <c r="F262" s="220">
        <v>45708</v>
      </c>
      <c r="G262" s="196"/>
      <c r="H262" s="220">
        <v>45709</v>
      </c>
      <c r="I262" s="198">
        <f ca="1">IF(ISBLANK(H262), NETWORKDAYS(F262, TODAY(),fESTIVOS!$A$1:$A$18), NETWORKDAYS(F262, H262, fESTIVOS!$A$1:$A$18))</f>
        <v>2</v>
      </c>
      <c r="J262" s="218"/>
      <c r="K262" s="587"/>
      <c r="L262" s="614" t="s">
        <v>1386</v>
      </c>
      <c r="M262" s="223"/>
      <c r="N262" s="223"/>
      <c r="O262" s="223"/>
      <c r="P262" s="223"/>
      <c r="Q262" s="223"/>
      <c r="R262" s="223"/>
      <c r="S262" s="223"/>
      <c r="T262" s="223"/>
      <c r="U262" s="223"/>
      <c r="V262" s="223"/>
      <c r="W262" s="223"/>
      <c r="X262" s="223"/>
      <c r="Y262" s="223"/>
      <c r="Z262" s="223"/>
    </row>
    <row r="263" spans="1:33" ht="15.75" customHeight="1">
      <c r="A263" s="216" t="s">
        <v>621</v>
      </c>
      <c r="B263" s="444" t="s">
        <v>1326</v>
      </c>
      <c r="C263" s="622" t="s">
        <v>1387</v>
      </c>
      <c r="D263" s="195" t="s">
        <v>45</v>
      </c>
      <c r="E263" s="220">
        <v>45698</v>
      </c>
      <c r="F263" s="220">
        <v>45698</v>
      </c>
      <c r="G263" s="196"/>
      <c r="H263" s="442"/>
      <c r="I263" s="198">
        <f ca="1">IF(ISBLANK(H263), NETWORKDAYS(F263, TODAY(),fESTIVOS!$A$1:$A$18), NETWORKDAYS(F263, H263, fESTIVOS!$A$1:$A$18))</f>
        <v>284</v>
      </c>
      <c r="J263" s="218"/>
      <c r="K263" s="587"/>
      <c r="L263" s="576" t="s">
        <v>1388</v>
      </c>
      <c r="M263" s="223"/>
      <c r="N263" s="223"/>
      <c r="O263" s="223"/>
      <c r="P263" s="223"/>
      <c r="Q263" s="223"/>
      <c r="R263" s="223"/>
      <c r="S263" s="223"/>
      <c r="T263" s="223"/>
      <c r="U263" s="223"/>
      <c r="V263" s="223"/>
      <c r="W263" s="223"/>
      <c r="X263" s="223"/>
      <c r="Y263" s="223"/>
      <c r="Z263" s="223"/>
    </row>
    <row r="264" spans="1:33" ht="15.75" customHeight="1">
      <c r="A264" s="216" t="s">
        <v>621</v>
      </c>
      <c r="B264" s="444" t="s">
        <v>1326</v>
      </c>
      <c r="C264" s="575" t="s">
        <v>1389</v>
      </c>
      <c r="D264" s="195" t="s">
        <v>37</v>
      </c>
      <c r="E264" s="220">
        <v>45700</v>
      </c>
      <c r="F264" s="220">
        <v>45701</v>
      </c>
      <c r="G264" s="196"/>
      <c r="H264" s="442"/>
      <c r="I264" s="198">
        <f ca="1">IF(ISBLANK(H264), NETWORKDAYS(F264, TODAY(),fESTIVOS!$A$1:$A$18), NETWORKDAYS(F264, H264, fESTIVOS!$A$1:$A$18))</f>
        <v>281</v>
      </c>
      <c r="J264" s="218"/>
      <c r="K264" s="587"/>
      <c r="L264" s="576"/>
      <c r="M264" s="223"/>
      <c r="N264" s="223"/>
      <c r="O264" s="223"/>
      <c r="P264" s="223"/>
      <c r="Q264" s="223"/>
      <c r="R264" s="223"/>
      <c r="S264" s="223"/>
      <c r="T264" s="223"/>
      <c r="U264" s="223"/>
      <c r="V264" s="223"/>
      <c r="W264" s="223"/>
      <c r="X264" s="223"/>
      <c r="Y264" s="223"/>
      <c r="Z264" s="223"/>
    </row>
    <row r="265" spans="1:33" ht="15.75" customHeight="1">
      <c r="A265" s="216" t="s">
        <v>621</v>
      </c>
      <c r="B265" s="444" t="s">
        <v>1326</v>
      </c>
      <c r="C265" s="575" t="s">
        <v>1390</v>
      </c>
      <c r="D265" s="195" t="s">
        <v>37</v>
      </c>
      <c r="E265" s="220">
        <v>45701</v>
      </c>
      <c r="F265" s="220">
        <v>45701</v>
      </c>
      <c r="G265" s="196"/>
      <c r="H265" s="220">
        <v>45707</v>
      </c>
      <c r="I265" s="198">
        <f ca="1">IF(ISBLANK(H265), NETWORKDAYS(F265, TODAY(),fESTIVOS!$A$1:$A$18), NETWORKDAYS(F265, H265, fESTIVOS!$A$1:$A$18))</f>
        <v>5</v>
      </c>
      <c r="J265" s="218"/>
      <c r="K265" s="587"/>
      <c r="L265" s="576" t="s">
        <v>1391</v>
      </c>
      <c r="M265" s="223"/>
      <c r="N265" s="223"/>
      <c r="O265" s="223"/>
      <c r="P265" s="223"/>
      <c r="Q265" s="223"/>
      <c r="R265" s="223"/>
      <c r="S265" s="223"/>
      <c r="T265" s="223"/>
      <c r="U265" s="223"/>
      <c r="V265" s="223"/>
      <c r="W265" s="223"/>
      <c r="X265" s="223"/>
      <c r="Y265" s="223"/>
      <c r="Z265" s="223"/>
    </row>
    <row r="266" spans="1:33" ht="15.75" customHeight="1">
      <c r="A266" s="216" t="s">
        <v>621</v>
      </c>
      <c r="B266" s="444" t="s">
        <v>1326</v>
      </c>
      <c r="C266" s="575" t="s">
        <v>1392</v>
      </c>
      <c r="D266" s="195" t="s">
        <v>37</v>
      </c>
      <c r="E266" s="220">
        <v>45700</v>
      </c>
      <c r="F266" s="220"/>
      <c r="G266" s="196"/>
      <c r="H266" s="442"/>
      <c r="I266" s="198">
        <f ca="1">IF(ISBLANK(H266), NETWORKDAYS(F266, TODAY(),fESTIVOS!$A$1:$A$18), NETWORKDAYS(F266, H266, fESTIVOS!$A$1:$A$18))</f>
        <v>32908</v>
      </c>
      <c r="J266" s="218"/>
      <c r="K266" s="587"/>
      <c r="L266" s="576"/>
      <c r="M266" s="223"/>
      <c r="N266" s="223"/>
      <c r="O266" s="223"/>
      <c r="P266" s="223"/>
      <c r="Q266" s="223"/>
      <c r="R266" s="223"/>
      <c r="S266" s="223"/>
      <c r="T266" s="223"/>
      <c r="U266" s="223"/>
      <c r="V266" s="223"/>
      <c r="W266" s="223"/>
      <c r="X266" s="223"/>
      <c r="Y266" s="223"/>
      <c r="Z266" s="223"/>
    </row>
    <row r="267" spans="1:33" ht="15.75" customHeight="1">
      <c r="A267" s="216" t="s">
        <v>621</v>
      </c>
      <c r="B267" s="444" t="s">
        <v>1326</v>
      </c>
      <c r="C267" s="575" t="s">
        <v>1393</v>
      </c>
      <c r="D267" s="195" t="s">
        <v>37</v>
      </c>
      <c r="E267" s="220">
        <v>45699</v>
      </c>
      <c r="F267" s="220">
        <v>45700</v>
      </c>
      <c r="G267" s="196"/>
      <c r="H267" s="220">
        <v>45701</v>
      </c>
      <c r="I267" s="198">
        <f ca="1">IF(ISBLANK(H267), NETWORKDAYS(F267, TODAY(),fESTIVOS!$A$1:$A$18), NETWORKDAYS(F267, H267, fESTIVOS!$A$1:$A$18))</f>
        <v>2</v>
      </c>
      <c r="J267" s="218"/>
      <c r="K267" s="587">
        <v>45701</v>
      </c>
      <c r="L267" s="576" t="s">
        <v>1394</v>
      </c>
      <c r="M267" s="223"/>
      <c r="N267" s="223"/>
      <c r="O267" s="223"/>
      <c r="P267" s="223"/>
      <c r="Q267" s="223"/>
      <c r="R267" s="223"/>
      <c r="S267" s="223"/>
      <c r="T267" s="223"/>
      <c r="U267" s="223"/>
      <c r="V267" s="223"/>
      <c r="W267" s="223"/>
      <c r="X267" s="223"/>
      <c r="Y267" s="223"/>
      <c r="Z267" s="223"/>
    </row>
    <row r="268" spans="1:33" ht="15.75" customHeight="1">
      <c r="A268" s="216" t="s">
        <v>621</v>
      </c>
      <c r="B268" s="444" t="s">
        <v>1326</v>
      </c>
      <c r="C268" s="575" t="s">
        <v>1395</v>
      </c>
      <c r="D268" s="195" t="s">
        <v>37</v>
      </c>
      <c r="E268" s="220">
        <v>45702</v>
      </c>
      <c r="F268" s="220">
        <v>45702</v>
      </c>
      <c r="G268" s="196"/>
      <c r="H268" s="220">
        <v>45702</v>
      </c>
      <c r="I268" s="198">
        <f ca="1">IF(ISBLANK(H268), NETWORKDAYS(F268, TODAY(),fESTIVOS!$A$1:$A$18), NETWORKDAYS(F268, H268, fESTIVOS!$A$1:$A$18))</f>
        <v>1</v>
      </c>
      <c r="J268" s="218"/>
      <c r="K268" s="220">
        <v>45702</v>
      </c>
      <c r="L268" s="576"/>
      <c r="M268" s="223"/>
      <c r="N268" s="223"/>
      <c r="O268" s="223"/>
      <c r="P268" s="223"/>
      <c r="Q268" s="223"/>
      <c r="R268" s="223"/>
      <c r="S268" s="223"/>
      <c r="T268" s="223"/>
      <c r="U268" s="223"/>
      <c r="V268" s="223"/>
      <c r="W268" s="223"/>
      <c r="X268" s="223"/>
      <c r="Y268" s="223"/>
      <c r="Z268" s="223"/>
    </row>
    <row r="269" spans="1:33" ht="15.75" customHeight="1">
      <c r="A269" s="201" t="s">
        <v>611</v>
      </c>
      <c r="B269" s="444" t="s">
        <v>1396</v>
      </c>
      <c r="C269" s="432"/>
      <c r="D269" s="216" t="s">
        <v>37</v>
      </c>
      <c r="E269" s="623">
        <v>45712</v>
      </c>
      <c r="F269" s="623">
        <v>45712</v>
      </c>
      <c r="G269" s="202"/>
      <c r="H269" s="623">
        <v>45712</v>
      </c>
      <c r="I269" s="198">
        <f ca="1">IF(ISBLANK(H269), NETWORKDAYS(F269, TODAY(),fESTIVOS!$A$1:$A$18), NETWORKDAYS(F269, H269, fESTIVOS!$A$1:$A$18))</f>
        <v>1</v>
      </c>
      <c r="J269" s="198"/>
      <c r="K269" s="216"/>
      <c r="L269" s="618" t="s">
        <v>1397</v>
      </c>
      <c r="M269" s="413"/>
      <c r="N269" s="178"/>
      <c r="O269" s="178"/>
      <c r="P269" s="178"/>
      <c r="Q269" s="178"/>
      <c r="R269" s="178"/>
      <c r="S269" s="178"/>
      <c r="T269" s="178"/>
      <c r="U269" s="178"/>
      <c r="V269" s="178"/>
      <c r="W269" s="178"/>
      <c r="X269" s="178"/>
      <c r="Y269" s="178"/>
      <c r="Z269" s="178"/>
    </row>
    <row r="270" spans="1:33" ht="15.75" customHeight="1">
      <c r="A270" s="216" t="s">
        <v>621</v>
      </c>
      <c r="B270" s="444" t="s">
        <v>1398</v>
      </c>
      <c r="C270" s="624"/>
      <c r="D270" s="442" t="s">
        <v>37</v>
      </c>
      <c r="E270" s="220">
        <v>45698</v>
      </c>
      <c r="F270" s="220">
        <v>45699</v>
      </c>
      <c r="G270" s="196"/>
      <c r="H270" s="220">
        <v>45713</v>
      </c>
      <c r="I270" s="198">
        <f ca="1">IF(ISBLANK(H270), NETWORKDAYS(F270, TODAY(),fESTIVOS!$A$1:$A$18), NETWORKDAYS(F270, H270, fESTIVOS!$A$1:$A$18))</f>
        <v>11</v>
      </c>
      <c r="J270" s="218"/>
      <c r="K270" s="218"/>
      <c r="L270" s="538" t="s">
        <v>1399</v>
      </c>
      <c r="M270" s="223"/>
      <c r="N270" s="223"/>
      <c r="O270" s="223"/>
      <c r="P270" s="223"/>
      <c r="Q270" s="223"/>
      <c r="R270" s="223"/>
      <c r="S270" s="223"/>
      <c r="T270" s="223"/>
      <c r="U270" s="223"/>
      <c r="V270" s="223"/>
      <c r="W270" s="223"/>
      <c r="X270" s="223"/>
      <c r="Y270" s="223"/>
      <c r="Z270" s="223"/>
    </row>
    <row r="271" spans="1:33" ht="15.75" customHeight="1">
      <c r="A271" s="216" t="s">
        <v>621</v>
      </c>
      <c r="B271" s="444" t="s">
        <v>1326</v>
      </c>
      <c r="C271" s="491" t="s">
        <v>1400</v>
      </c>
      <c r="D271" s="195" t="s">
        <v>1401</v>
      </c>
      <c r="E271" s="220">
        <v>45705</v>
      </c>
      <c r="F271" s="220">
        <v>45705</v>
      </c>
      <c r="G271" s="196">
        <v>45706</v>
      </c>
      <c r="H271" s="442"/>
      <c r="I271" s="198">
        <f ca="1">IF(ISBLANK(H271), NETWORKDAYS(F271, TODAY(),fESTIVOS!$A$1:$A$18), NETWORKDAYS(F271, H271, fESTIVOS!$A$1:$A$18))</f>
        <v>279</v>
      </c>
      <c r="J271" s="218"/>
      <c r="K271" s="587"/>
      <c r="L271" s="576" t="s">
        <v>1402</v>
      </c>
      <c r="M271" s="223"/>
      <c r="N271" s="223"/>
      <c r="O271" s="223"/>
      <c r="P271" s="223"/>
      <c r="Q271" s="223"/>
      <c r="R271" s="223"/>
      <c r="S271" s="223"/>
      <c r="T271" s="223"/>
      <c r="U271" s="223"/>
      <c r="V271" s="223"/>
      <c r="W271" s="223"/>
      <c r="X271" s="223"/>
      <c r="Y271" s="223"/>
      <c r="Z271" s="223"/>
    </row>
    <row r="272" spans="1:33" ht="15.75" customHeight="1">
      <c r="A272" s="491" t="s">
        <v>718</v>
      </c>
      <c r="B272" s="625" t="s">
        <v>1403</v>
      </c>
      <c r="C272" s="626"/>
      <c r="D272" s="410" t="s">
        <v>37</v>
      </c>
      <c r="E272" s="207">
        <v>45712</v>
      </c>
      <c r="F272" s="207">
        <v>45713</v>
      </c>
      <c r="G272" s="200"/>
      <c r="H272" s="207">
        <v>45713</v>
      </c>
      <c r="I272" s="190">
        <f ca="1">IF(ISBLANK(H272), NETWORKDAYS(F272, TODAY(),fESTIVOS!$A$1:$A$18), NETWORKDAYS(F272, H272, fESTIVOS!$A$1:$A$18))</f>
        <v>1</v>
      </c>
      <c r="J272" s="200"/>
      <c r="K272" s="200"/>
      <c r="L272" s="625" t="s">
        <v>1404</v>
      </c>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row>
    <row r="273" spans="1:33" ht="15.75" customHeight="1">
      <c r="A273" s="216" t="s">
        <v>621</v>
      </c>
      <c r="B273" s="444" t="s">
        <v>1326</v>
      </c>
      <c r="C273" s="226" t="s">
        <v>1405</v>
      </c>
      <c r="D273" s="195" t="s">
        <v>1406</v>
      </c>
      <c r="E273" s="220">
        <v>45712</v>
      </c>
      <c r="F273" s="220">
        <v>45712</v>
      </c>
      <c r="G273" s="196"/>
      <c r="H273" s="220">
        <v>45713</v>
      </c>
      <c r="I273" s="198">
        <f ca="1">IF(ISBLANK(H273), NETWORKDAYS(F273, TODAY(),fESTIVOS!$A$1:$A$18), NETWORKDAYS(F273, H273, fESTIVOS!$A$1:$A$18))</f>
        <v>2</v>
      </c>
      <c r="J273" s="218"/>
      <c r="K273" s="218"/>
      <c r="L273" s="614" t="s">
        <v>1407</v>
      </c>
      <c r="M273" s="223"/>
      <c r="N273" s="223"/>
      <c r="O273" s="223"/>
      <c r="P273" s="223"/>
      <c r="Q273" s="223"/>
      <c r="R273" s="223"/>
      <c r="S273" s="223"/>
      <c r="T273" s="223"/>
      <c r="U273" s="223"/>
      <c r="V273" s="223"/>
      <c r="W273" s="223"/>
      <c r="X273" s="223"/>
      <c r="Y273" s="223"/>
      <c r="Z273" s="223"/>
    </row>
    <row r="274" spans="1:33" ht="15.75" customHeight="1">
      <c r="A274" s="216" t="s">
        <v>596</v>
      </c>
      <c r="B274" s="627" t="s">
        <v>1408</v>
      </c>
      <c r="C274" s="626"/>
      <c r="D274" s="566" t="s">
        <v>37</v>
      </c>
      <c r="E274" s="567">
        <v>45714</v>
      </c>
      <c r="F274" s="567">
        <v>45715</v>
      </c>
      <c r="G274" s="565"/>
      <c r="H274" s="567">
        <v>45715</v>
      </c>
      <c r="I274" s="198">
        <f ca="1">IF(ISBLANK(H274), NETWORKDAYS(F274, TODAY(),fESTIVOS!$A$1:$A$18), NETWORKDAYS(F274, H274, fESTIVOS!$A$1:$A$18))</f>
        <v>1</v>
      </c>
      <c r="J274" s="565"/>
      <c r="K274" s="567"/>
      <c r="L274" s="628" t="s">
        <v>1409</v>
      </c>
      <c r="M274" s="178"/>
      <c r="N274" s="178"/>
      <c r="O274" s="178"/>
      <c r="P274" s="178"/>
      <c r="Q274" s="178"/>
      <c r="R274" s="178"/>
      <c r="S274" s="178"/>
      <c r="T274" s="178"/>
      <c r="U274" s="178"/>
      <c r="V274" s="178"/>
      <c r="W274" s="178"/>
      <c r="X274" s="178"/>
      <c r="Y274" s="178"/>
      <c r="Z274" s="178"/>
    </row>
    <row r="275" spans="1:33" ht="15.75" customHeight="1">
      <c r="A275" s="216" t="s">
        <v>621</v>
      </c>
      <c r="B275" s="444" t="s">
        <v>1410</v>
      </c>
      <c r="C275" s="624"/>
      <c r="D275" s="442" t="s">
        <v>37</v>
      </c>
      <c r="E275" s="220">
        <v>45716</v>
      </c>
      <c r="F275" s="220">
        <v>45716</v>
      </c>
      <c r="G275" s="196"/>
      <c r="H275" s="220">
        <v>45716</v>
      </c>
      <c r="I275" s="198">
        <f ca="1">IF(ISBLANK(H275), NETWORKDAYS(F275, TODAY(),fESTIVOS!$A$1:$A$18), NETWORKDAYS(F275, H275, fESTIVOS!$A$1:$A$18))</f>
        <v>1</v>
      </c>
      <c r="J275" s="218"/>
      <c r="K275" s="218"/>
      <c r="L275" s="538" t="s">
        <v>1411</v>
      </c>
      <c r="M275" s="223"/>
      <c r="N275" s="223"/>
      <c r="O275" s="223"/>
      <c r="P275" s="223"/>
      <c r="Q275" s="223"/>
      <c r="R275" s="223"/>
      <c r="S275" s="223"/>
      <c r="T275" s="223"/>
      <c r="U275" s="223"/>
      <c r="V275" s="223"/>
      <c r="W275" s="223"/>
      <c r="X275" s="223"/>
      <c r="Y275" s="223"/>
      <c r="Z275" s="223"/>
    </row>
    <row r="276" spans="1:33" ht="15.75" customHeight="1">
      <c r="A276" s="177" t="s">
        <v>718</v>
      </c>
      <c r="B276" s="177" t="s">
        <v>1412</v>
      </c>
      <c r="C276" s="629"/>
      <c r="D276" s="189" t="s">
        <v>37</v>
      </c>
      <c r="E276" s="630">
        <v>45712</v>
      </c>
      <c r="F276" s="630">
        <v>45713</v>
      </c>
      <c r="G276" s="631"/>
      <c r="H276" s="630">
        <v>45715</v>
      </c>
      <c r="I276" s="190">
        <f ca="1">IF(ISBLANK(H276), NETWORKDAYS(F276, TODAY(),fESTIVOS!$A$1:$A$18), NETWORKDAYS(F276, H276, fESTIVOS!$A$1:$A$18))</f>
        <v>3</v>
      </c>
      <c r="J276" s="631"/>
      <c r="K276" s="631"/>
      <c r="L276" s="583" t="s">
        <v>1413</v>
      </c>
      <c r="M276" s="632"/>
      <c r="N276" s="632"/>
      <c r="O276" s="632"/>
      <c r="P276" s="632"/>
      <c r="Q276" s="632"/>
      <c r="R276" s="632"/>
      <c r="S276" s="632"/>
      <c r="T276" s="632"/>
      <c r="U276" s="632"/>
      <c r="V276" s="632"/>
      <c r="W276" s="632"/>
      <c r="X276" s="632"/>
      <c r="Y276" s="632"/>
      <c r="Z276" s="632"/>
      <c r="AA276" s="632"/>
      <c r="AB276" s="632"/>
      <c r="AC276" s="632"/>
      <c r="AD276" s="632"/>
      <c r="AE276" s="632"/>
      <c r="AF276" s="632"/>
      <c r="AG276" s="632"/>
    </row>
    <row r="277" spans="1:33" ht="15.75" customHeight="1">
      <c r="A277" s="216" t="s">
        <v>621</v>
      </c>
      <c r="B277" s="444" t="s">
        <v>1414</v>
      </c>
      <c r="C277" s="624"/>
      <c r="D277" s="442" t="s">
        <v>37</v>
      </c>
      <c r="E277" s="220">
        <v>45716</v>
      </c>
      <c r="F277" s="220">
        <v>45716</v>
      </c>
      <c r="G277" s="196"/>
      <c r="H277" s="220">
        <v>45716</v>
      </c>
      <c r="I277" s="198">
        <f ca="1">IF(ISBLANK(H277), NETWORKDAYS(F277, TODAY(),fESTIVOS!$A$1:$A$18), NETWORKDAYS(F277, H277, fESTIVOS!$A$1:$A$18))</f>
        <v>1</v>
      </c>
      <c r="J277" s="218"/>
      <c r="K277" s="218"/>
      <c r="L277" s="538" t="s">
        <v>1415</v>
      </c>
      <c r="M277" s="223"/>
      <c r="N277" s="223"/>
      <c r="O277" s="223"/>
      <c r="P277" s="223"/>
      <c r="Q277" s="223"/>
      <c r="R277" s="223"/>
      <c r="S277" s="223"/>
      <c r="T277" s="223"/>
      <c r="U277" s="223"/>
      <c r="V277" s="223"/>
      <c r="W277" s="223"/>
      <c r="X277" s="223"/>
      <c r="Y277" s="223"/>
      <c r="Z277" s="223"/>
    </row>
    <row r="278" spans="1:33" ht="15.75" customHeight="1">
      <c r="A278" s="216" t="s">
        <v>621</v>
      </c>
      <c r="B278" s="444" t="s">
        <v>1416</v>
      </c>
      <c r="C278" s="624"/>
      <c r="D278" s="442" t="s">
        <v>37</v>
      </c>
      <c r="E278" s="220">
        <v>45712</v>
      </c>
      <c r="F278" s="220">
        <v>45712</v>
      </c>
      <c r="G278" s="196"/>
      <c r="H278" s="220">
        <v>45719</v>
      </c>
      <c r="I278" s="198">
        <f ca="1">IF(ISBLANK(H278), NETWORKDAYS(F278, TODAY(),fESTIVOS!$A$1:$A$18), NETWORKDAYS(F278, H278, fESTIVOS!$A$1:$A$18))</f>
        <v>6</v>
      </c>
      <c r="J278" s="218"/>
      <c r="K278" s="218"/>
      <c r="L278" s="538" t="s">
        <v>1417</v>
      </c>
      <c r="M278" s="223"/>
      <c r="N278" s="223"/>
      <c r="O278" s="223"/>
      <c r="P278" s="223"/>
      <c r="Q278" s="223"/>
      <c r="R278" s="223"/>
      <c r="S278" s="223"/>
      <c r="T278" s="223"/>
      <c r="U278" s="223"/>
      <c r="V278" s="223"/>
      <c r="W278" s="223"/>
      <c r="X278" s="223"/>
      <c r="Y278" s="223"/>
      <c r="Z278" s="223"/>
    </row>
    <row r="279" spans="1:33" ht="15.75" customHeight="1">
      <c r="A279" s="491" t="s">
        <v>718</v>
      </c>
      <c r="B279" s="396" t="s">
        <v>1418</v>
      </c>
      <c r="C279" s="633"/>
      <c r="D279" s="189" t="s">
        <v>37</v>
      </c>
      <c r="E279" s="188">
        <v>45715</v>
      </c>
      <c r="F279" s="188">
        <v>45715</v>
      </c>
      <c r="G279" s="188"/>
      <c r="H279" s="188">
        <v>45719</v>
      </c>
      <c r="I279" s="190">
        <f ca="1">IF(ISBLANK(H279), NETWORKDAYS(F279, TODAY(),fESTIVOS!$A$1:$A$18), NETWORKDAYS(F279, H279, fESTIVOS!$A$1:$A$18))</f>
        <v>3</v>
      </c>
      <c r="J279" s="188"/>
      <c r="K279" s="188"/>
      <c r="L279" s="191" t="s">
        <v>1419</v>
      </c>
      <c r="M279" s="413"/>
      <c r="N279" s="178"/>
      <c r="O279" s="178"/>
      <c r="P279" s="178"/>
      <c r="Q279" s="178"/>
      <c r="R279" s="178"/>
      <c r="S279" s="178"/>
      <c r="T279" s="178"/>
      <c r="U279" s="178"/>
      <c r="V279" s="178"/>
      <c r="W279" s="178"/>
      <c r="X279" s="178"/>
      <c r="Y279" s="178"/>
      <c r="Z279" s="178"/>
    </row>
    <row r="280" spans="1:33" ht="15.75" customHeight="1">
      <c r="A280" s="491" t="s">
        <v>718</v>
      </c>
      <c r="B280" s="396" t="s">
        <v>1420</v>
      </c>
      <c r="C280" s="633"/>
      <c r="D280" s="189" t="s">
        <v>37</v>
      </c>
      <c r="E280" s="188">
        <v>45715</v>
      </c>
      <c r="F280" s="188">
        <v>45719</v>
      </c>
      <c r="G280" s="188"/>
      <c r="H280" s="188">
        <v>45719</v>
      </c>
      <c r="I280" s="190">
        <f ca="1">IF(ISBLANK(H280), NETWORKDAYS(F280, TODAY(),fESTIVOS!$A$1:$A$18), NETWORKDAYS(F280, H280, fESTIVOS!$A$1:$A$18))</f>
        <v>1</v>
      </c>
      <c r="J280" s="188"/>
      <c r="K280" s="188"/>
      <c r="L280" s="191" t="s">
        <v>1421</v>
      </c>
      <c r="M280" s="413"/>
      <c r="N280" s="178"/>
      <c r="O280" s="178"/>
      <c r="P280" s="178"/>
      <c r="Q280" s="178"/>
      <c r="R280" s="178"/>
      <c r="S280" s="178"/>
      <c r="T280" s="178"/>
      <c r="U280" s="178"/>
      <c r="V280" s="178"/>
      <c r="W280" s="178"/>
      <c r="X280" s="178"/>
      <c r="Y280" s="178"/>
      <c r="Z280" s="178"/>
    </row>
    <row r="281" spans="1:33" ht="15.75" hidden="1" customHeight="1">
      <c r="A281" s="491" t="s">
        <v>718</v>
      </c>
      <c r="B281" s="396" t="s">
        <v>1422</v>
      </c>
      <c r="C281" s="396"/>
      <c r="D281" s="189" t="s">
        <v>40</v>
      </c>
      <c r="E281" s="188">
        <v>45715</v>
      </c>
      <c r="F281" s="188"/>
      <c r="G281" s="188"/>
      <c r="H281" s="188"/>
      <c r="I281" s="189"/>
      <c r="J281" s="188"/>
      <c r="K281" s="188"/>
      <c r="L281" s="191"/>
      <c r="M281" s="413"/>
      <c r="N281" s="178"/>
      <c r="O281" s="178"/>
      <c r="P281" s="178"/>
      <c r="Q281" s="178"/>
      <c r="R281" s="178"/>
      <c r="S281" s="178"/>
      <c r="T281" s="178"/>
      <c r="U281" s="178"/>
      <c r="V281" s="178"/>
      <c r="W281" s="178"/>
      <c r="X281" s="178"/>
      <c r="Y281" s="178"/>
      <c r="Z281" s="178"/>
    </row>
    <row r="282" spans="1:33" ht="15.75" customHeight="1">
      <c r="A282" s="491" t="s">
        <v>718</v>
      </c>
      <c r="B282" s="187" t="s">
        <v>1423</v>
      </c>
      <c r="C282" s="633"/>
      <c r="D282" s="410" t="s">
        <v>37</v>
      </c>
      <c r="E282" s="188">
        <v>45719</v>
      </c>
      <c r="F282" s="188">
        <v>45719</v>
      </c>
      <c r="G282" s="188"/>
      <c r="H282" s="188"/>
      <c r="I282" s="190">
        <f ca="1">IF(ISBLANK(H282), NETWORKDAYS(F282, TODAY(),fESTIVOS!$A$1:$A$18), NETWORKDAYS(F282, H282, fESTIVOS!$A$1:$A$18))</f>
        <v>269</v>
      </c>
      <c r="J282" s="188"/>
      <c r="K282" s="188"/>
      <c r="L282" s="191" t="s">
        <v>1424</v>
      </c>
      <c r="M282" s="413"/>
      <c r="N282" s="178"/>
      <c r="O282" s="178"/>
      <c r="P282" s="178"/>
      <c r="Q282" s="178"/>
      <c r="R282" s="178"/>
      <c r="S282" s="178"/>
      <c r="T282" s="178"/>
      <c r="U282" s="178"/>
      <c r="V282" s="178"/>
      <c r="W282" s="178"/>
      <c r="X282" s="178"/>
      <c r="Y282" s="178"/>
      <c r="Z282" s="178"/>
    </row>
    <row r="283" spans="1:33" ht="15.75" customHeight="1">
      <c r="A283" s="491" t="s">
        <v>718</v>
      </c>
      <c r="B283" s="598" t="s">
        <v>1425</v>
      </c>
      <c r="C283" s="396"/>
      <c r="D283" s="189" t="s">
        <v>37</v>
      </c>
      <c r="E283" s="188">
        <v>45700</v>
      </c>
      <c r="F283" s="188">
        <v>45701</v>
      </c>
      <c r="G283" s="188">
        <v>45714</v>
      </c>
      <c r="H283" s="188">
        <v>45714</v>
      </c>
      <c r="I283" s="190">
        <f ca="1">IF(ISBLANK(H283), NETWORKDAYS(F283, TODAY(),fESTIVOS!$A$1:$A$18), NETWORKDAYS(F283, H283, fESTIVOS!$A$1:$A$18))</f>
        <v>10</v>
      </c>
      <c r="J283" s="188"/>
      <c r="K283" s="188"/>
      <c r="L283" s="191" t="s">
        <v>1426</v>
      </c>
      <c r="M283" s="413"/>
      <c r="N283" s="178"/>
      <c r="O283" s="178"/>
      <c r="P283" s="178"/>
      <c r="Q283" s="178"/>
      <c r="R283" s="178"/>
      <c r="S283" s="178"/>
      <c r="T283" s="178"/>
      <c r="U283" s="178"/>
      <c r="V283" s="178"/>
      <c r="W283" s="178"/>
      <c r="X283" s="178"/>
      <c r="Y283" s="178"/>
      <c r="Z283" s="178"/>
    </row>
    <row r="284" spans="1:33" ht="15.75" customHeight="1">
      <c r="A284" s="491" t="s">
        <v>718</v>
      </c>
      <c r="B284" s="186" t="s">
        <v>1427</v>
      </c>
      <c r="C284" s="506"/>
      <c r="D284" s="634" t="s">
        <v>37</v>
      </c>
      <c r="E284" s="507">
        <v>45712</v>
      </c>
      <c r="F284" s="507">
        <v>45712</v>
      </c>
      <c r="G284" s="506"/>
      <c r="H284" s="507">
        <v>45721</v>
      </c>
      <c r="I284" s="190">
        <f ca="1">IF(ISBLANK(H284), NETWORKDAYS(F284, TODAY(),fESTIVOS!$A$1:$A$18), NETWORKDAYS(F284, H284, fESTIVOS!$A$1:$A$18))</f>
        <v>8</v>
      </c>
      <c r="J284" s="506"/>
      <c r="K284" s="506"/>
      <c r="L284" s="635" t="s">
        <v>1428</v>
      </c>
    </row>
    <row r="285" spans="1:33" ht="15.75" customHeight="1">
      <c r="A285" s="216" t="s">
        <v>621</v>
      </c>
      <c r="B285" s="598" t="s">
        <v>1429</v>
      </c>
      <c r="C285" s="622" t="s">
        <v>1430</v>
      </c>
      <c r="D285" s="195" t="s">
        <v>37</v>
      </c>
      <c r="E285" s="220">
        <v>45687</v>
      </c>
      <c r="F285" s="221">
        <v>45687</v>
      </c>
      <c r="G285" s="218"/>
      <c r="H285" s="220">
        <v>45692</v>
      </c>
      <c r="I285" s="198">
        <f ca="1">IF(ISBLANK(H285), NETWORKDAYS(F285, TODAY(),fESTIVOS!$A$1:$A$18), NETWORKDAYS(F285, H285, fESTIVOS!$A$1:$A$18))</f>
        <v>4</v>
      </c>
      <c r="J285" s="220">
        <v>45692</v>
      </c>
      <c r="K285" s="218"/>
      <c r="L285" s="575" t="s">
        <v>1431</v>
      </c>
      <c r="M285" s="223"/>
      <c r="N285" s="223"/>
      <c r="O285" s="223"/>
      <c r="P285" s="223"/>
      <c r="Q285" s="223"/>
      <c r="R285" s="223"/>
      <c r="S285" s="223"/>
      <c r="T285" s="223"/>
      <c r="U285" s="223"/>
      <c r="V285" s="223"/>
      <c r="W285" s="223"/>
      <c r="X285" s="223"/>
      <c r="Y285" s="223"/>
      <c r="Z285" s="223"/>
    </row>
    <row r="286" spans="1:33" ht="15.75" customHeight="1">
      <c r="A286" s="216" t="s">
        <v>621</v>
      </c>
      <c r="B286" s="406" t="s">
        <v>1432</v>
      </c>
      <c r="C286" s="622"/>
      <c r="D286" s="195" t="s">
        <v>37</v>
      </c>
      <c r="E286" s="220">
        <v>45720</v>
      </c>
      <c r="F286" s="221">
        <v>45720</v>
      </c>
      <c r="G286" s="218"/>
      <c r="H286" s="220">
        <v>45721</v>
      </c>
      <c r="I286" s="198">
        <f ca="1">IF(ISBLANK(H286), NETWORKDAYS(F286, TODAY(),fESTIVOS!$A$1:$A$18), NETWORKDAYS(F286, H286, fESTIVOS!$A$1:$A$18))</f>
        <v>2</v>
      </c>
      <c r="J286" s="220"/>
      <c r="K286" s="218"/>
      <c r="L286" s="615" t="s">
        <v>1433</v>
      </c>
      <c r="M286" s="223"/>
      <c r="N286" s="223"/>
      <c r="O286" s="223"/>
      <c r="P286" s="223"/>
      <c r="Q286" s="223"/>
      <c r="R286" s="223"/>
      <c r="S286" s="223"/>
      <c r="T286" s="223"/>
      <c r="U286" s="223"/>
      <c r="V286" s="223"/>
      <c r="W286" s="223"/>
      <c r="X286" s="223"/>
      <c r="Y286" s="223"/>
      <c r="Z286" s="223"/>
    </row>
    <row r="287" spans="1:33" ht="15.75" customHeight="1">
      <c r="A287" s="216" t="s">
        <v>596</v>
      </c>
      <c r="B287" s="432" t="s">
        <v>1434</v>
      </c>
      <c r="C287" s="633"/>
      <c r="D287" s="442" t="s">
        <v>37</v>
      </c>
      <c r="E287" s="220">
        <v>45722</v>
      </c>
      <c r="F287" s="220">
        <v>45722</v>
      </c>
      <c r="G287" s="220"/>
      <c r="H287" s="220">
        <v>45722</v>
      </c>
      <c r="I287" s="198">
        <f ca="1">IF(ISBLANK(H287), NETWORKDAYS(F287, TODAY(),fESTIVOS!$A$1:$A$18), NETWORKDAYS(F287, H287, fESTIVOS!$A$1:$A$18))</f>
        <v>1</v>
      </c>
      <c r="J287" s="220"/>
      <c r="K287" s="220"/>
      <c r="L287" s="636" t="s">
        <v>1435</v>
      </c>
      <c r="M287" s="178"/>
      <c r="N287" s="178"/>
      <c r="O287" s="178"/>
      <c r="P287" s="178"/>
      <c r="Q287" s="178"/>
      <c r="R287" s="178"/>
      <c r="S287" s="178"/>
      <c r="T287" s="178"/>
      <c r="U287" s="178"/>
      <c r="V287" s="178"/>
      <c r="W287" s="178"/>
      <c r="X287" s="178"/>
      <c r="Y287" s="178"/>
      <c r="Z287" s="178"/>
    </row>
    <row r="288" spans="1:33" ht="15.75" customHeight="1">
      <c r="A288" s="216" t="s">
        <v>596</v>
      </c>
      <c r="B288" s="412" t="s">
        <v>1436</v>
      </c>
      <c r="C288" s="633"/>
      <c r="D288" s="442" t="s">
        <v>37</v>
      </c>
      <c r="E288" s="220">
        <v>45722</v>
      </c>
      <c r="F288" s="220">
        <v>45723</v>
      </c>
      <c r="G288" s="220"/>
      <c r="H288" s="220">
        <v>45723</v>
      </c>
      <c r="I288" s="198">
        <f ca="1">IF(ISBLANK(H288), NETWORKDAYS(F288, TODAY(),fESTIVOS!$A$1:$A$18), NETWORKDAYS(F288, H288, fESTIVOS!$A$1:$A$18))</f>
        <v>1</v>
      </c>
      <c r="J288" s="220"/>
      <c r="K288" s="220"/>
      <c r="L288" s="636" t="s">
        <v>1437</v>
      </c>
      <c r="M288" s="178"/>
      <c r="N288" s="178"/>
      <c r="O288" s="178"/>
      <c r="P288" s="178"/>
      <c r="Q288" s="178"/>
      <c r="R288" s="178"/>
      <c r="S288" s="178"/>
      <c r="T288" s="178"/>
      <c r="U288" s="178"/>
      <c r="V288" s="178"/>
      <c r="W288" s="178"/>
      <c r="X288" s="178"/>
      <c r="Y288" s="178"/>
      <c r="Z288" s="178"/>
    </row>
    <row r="289" spans="1:26" ht="15.75" customHeight="1">
      <c r="A289" s="216" t="s">
        <v>621</v>
      </c>
      <c r="B289" s="637" t="s">
        <v>1438</v>
      </c>
      <c r="C289" s="624"/>
      <c r="D289" s="189" t="s">
        <v>37</v>
      </c>
      <c r="E289" s="188">
        <v>45722</v>
      </c>
      <c r="F289" s="505">
        <v>45723</v>
      </c>
      <c r="G289" s="447"/>
      <c r="H289" s="505">
        <v>45723</v>
      </c>
      <c r="I289" s="198">
        <f ca="1">IF(ISBLANK(H289), NETWORKDAYS(F289, TODAY(),fESTIVOS!$A$1:$A$18), NETWORKDAYS(F289, H289, fESTIVOS!$A$1:$A$18))</f>
        <v>1</v>
      </c>
      <c r="J289" s="447"/>
      <c r="K289" s="447"/>
      <c r="L289" s="447" t="s">
        <v>1439</v>
      </c>
      <c r="M289" s="638" t="s">
        <v>1440</v>
      </c>
      <c r="N289" s="223"/>
      <c r="O289" s="223"/>
      <c r="P289" s="223"/>
      <c r="Q289" s="223"/>
      <c r="R289" s="223"/>
      <c r="S289" s="223"/>
      <c r="T289" s="223"/>
      <c r="U289" s="223"/>
      <c r="V289" s="223"/>
      <c r="W289" s="223"/>
      <c r="X289" s="223"/>
      <c r="Y289" s="223"/>
      <c r="Z289" s="223"/>
    </row>
    <row r="290" spans="1:26" ht="15.75" hidden="1" customHeight="1">
      <c r="A290" s="216" t="s">
        <v>621</v>
      </c>
      <c r="B290" s="637" t="s">
        <v>1441</v>
      </c>
      <c r="C290" s="447"/>
      <c r="D290" s="189" t="s">
        <v>40</v>
      </c>
      <c r="E290" s="188">
        <v>45722</v>
      </c>
      <c r="F290" s="639"/>
      <c r="G290" s="447"/>
      <c r="H290" s="189"/>
      <c r="I290" s="198">
        <f ca="1">IF(ISBLANK(H290), NETWORKDAYS(F290, TODAY(),fESTIVOS!$A$1:$A$18), NETWORKDAYS(F290, H290, fESTIVOS!$A$1:$A$18))</f>
        <v>32908</v>
      </c>
      <c r="J290" s="447"/>
      <c r="K290" s="447"/>
      <c r="L290" s="447" t="s">
        <v>1442</v>
      </c>
      <c r="M290" s="223"/>
      <c r="N290" s="223"/>
      <c r="O290" s="223"/>
      <c r="P290" s="223"/>
      <c r="Q290" s="223"/>
      <c r="R290" s="223"/>
      <c r="S290" s="223"/>
      <c r="T290" s="223"/>
      <c r="U290" s="223"/>
      <c r="V290" s="223"/>
      <c r="W290" s="223"/>
      <c r="X290" s="223"/>
      <c r="Y290" s="223"/>
      <c r="Z290" s="223"/>
    </row>
    <row r="291" spans="1:26" ht="15.75" hidden="1" customHeight="1">
      <c r="A291" s="216" t="s">
        <v>621</v>
      </c>
      <c r="B291" s="637" t="s">
        <v>1443</v>
      </c>
      <c r="C291" s="447"/>
      <c r="D291" s="189" t="s">
        <v>40</v>
      </c>
      <c r="E291" s="188">
        <v>45722</v>
      </c>
      <c r="F291" s="639"/>
      <c r="G291" s="447"/>
      <c r="H291" s="189"/>
      <c r="I291" s="198">
        <f ca="1">IF(ISBLANK(H291), NETWORKDAYS(F291, TODAY(),fESTIVOS!$A$1:$A$18), NETWORKDAYS(F291, H291, fESTIVOS!$A$1:$A$18))</f>
        <v>32908</v>
      </c>
      <c r="J291" s="447"/>
      <c r="K291" s="447"/>
      <c r="L291" s="447"/>
      <c r="M291" s="223"/>
      <c r="N291" s="223"/>
      <c r="O291" s="223"/>
      <c r="P291" s="223"/>
      <c r="Q291" s="223"/>
      <c r="R291" s="223"/>
      <c r="S291" s="223"/>
      <c r="T291" s="223"/>
      <c r="U291" s="223"/>
      <c r="V291" s="223"/>
      <c r="W291" s="223"/>
      <c r="X291" s="223"/>
      <c r="Y291" s="223"/>
      <c r="Z291" s="223"/>
    </row>
    <row r="292" spans="1:26" ht="15.75" customHeight="1">
      <c r="A292" s="216" t="s">
        <v>621</v>
      </c>
      <c r="B292" s="637" t="s">
        <v>1444</v>
      </c>
      <c r="C292" s="624"/>
      <c r="D292" s="189" t="s">
        <v>37</v>
      </c>
      <c r="E292" s="188">
        <v>45722</v>
      </c>
      <c r="F292" s="505">
        <v>45723</v>
      </c>
      <c r="G292" s="447"/>
      <c r="H292" s="505">
        <v>45723</v>
      </c>
      <c r="I292" s="198">
        <f ca="1">IF(ISBLANK(H292), NETWORKDAYS(F292, TODAY(),fESTIVOS!$A$1:$A$18), NETWORKDAYS(F292, H292, fESTIVOS!$A$1:$A$18))</f>
        <v>1</v>
      </c>
      <c r="J292" s="447"/>
      <c r="K292" s="407">
        <v>45723</v>
      </c>
      <c r="L292" s="447" t="s">
        <v>1445</v>
      </c>
      <c r="M292" s="223" t="s">
        <v>1446</v>
      </c>
      <c r="N292" s="223"/>
      <c r="O292" s="223"/>
      <c r="P292" s="223"/>
      <c r="Q292" s="223"/>
      <c r="R292" s="223"/>
      <c r="S292" s="223"/>
      <c r="T292" s="223"/>
      <c r="U292" s="223"/>
      <c r="V292" s="223"/>
      <c r="W292" s="223"/>
      <c r="X292" s="223"/>
      <c r="Y292" s="223"/>
      <c r="Z292" s="223"/>
    </row>
    <row r="293" spans="1:26" ht="15.75" customHeight="1">
      <c r="A293" s="216" t="s">
        <v>621</v>
      </c>
      <c r="B293" s="637" t="s">
        <v>1447</v>
      </c>
      <c r="C293" s="624"/>
      <c r="D293" s="189" t="s">
        <v>37</v>
      </c>
      <c r="E293" s="188">
        <v>45722</v>
      </c>
      <c r="F293" s="505">
        <v>45722</v>
      </c>
      <c r="G293" s="447"/>
      <c r="H293" s="505">
        <v>45723</v>
      </c>
      <c r="I293" s="198">
        <f ca="1">IF(ISBLANK(H293), NETWORKDAYS(F293, TODAY(),fESTIVOS!$A$1:$A$18), NETWORKDAYS(F293, H293, fESTIVOS!$A$1:$A$18))</f>
        <v>2</v>
      </c>
      <c r="J293" s="447"/>
      <c r="K293" s="407">
        <v>45723</v>
      </c>
      <c r="L293" s="447" t="s">
        <v>1448</v>
      </c>
      <c r="M293" s="223" t="s">
        <v>1446</v>
      </c>
      <c r="N293" s="223"/>
      <c r="O293" s="223"/>
      <c r="P293" s="223"/>
      <c r="Q293" s="223"/>
      <c r="R293" s="223"/>
      <c r="S293" s="223"/>
      <c r="T293" s="223"/>
      <c r="U293" s="223"/>
      <c r="V293" s="223"/>
      <c r="W293" s="223"/>
      <c r="X293" s="223"/>
      <c r="Y293" s="223"/>
      <c r="Z293" s="223"/>
    </row>
    <row r="294" spans="1:26" ht="15.75" customHeight="1">
      <c r="A294" s="216" t="s">
        <v>621</v>
      </c>
      <c r="B294" s="640" t="s">
        <v>1449</v>
      </c>
      <c r="C294" s="624"/>
      <c r="D294" s="442" t="s">
        <v>37</v>
      </c>
      <c r="E294" s="188">
        <v>45721</v>
      </c>
      <c r="F294" s="505">
        <v>45721</v>
      </c>
      <c r="G294" s="447"/>
      <c r="H294" s="188">
        <v>45722</v>
      </c>
      <c r="I294" s="198">
        <f ca="1">IF(ISBLANK(H294), NETWORKDAYS(F294, TODAY(),fESTIVOS!$A$1:$A$18), NETWORKDAYS(F294, H294, fESTIVOS!$A$1:$A$18))</f>
        <v>2</v>
      </c>
      <c r="J294" s="188">
        <v>45722</v>
      </c>
      <c r="K294" s="407">
        <v>45723</v>
      </c>
      <c r="L294" s="447" t="s">
        <v>1450</v>
      </c>
      <c r="M294" s="223" t="s">
        <v>1446</v>
      </c>
      <c r="N294" s="223"/>
      <c r="O294" s="223"/>
      <c r="P294" s="223"/>
      <c r="Q294" s="223"/>
      <c r="R294" s="223"/>
      <c r="S294" s="223"/>
      <c r="T294" s="223"/>
      <c r="U294" s="223"/>
      <c r="V294" s="223"/>
      <c r="W294" s="223"/>
      <c r="X294" s="223"/>
      <c r="Y294" s="223"/>
      <c r="Z294" s="223"/>
    </row>
    <row r="295" spans="1:26" ht="15.75" customHeight="1">
      <c r="A295" s="216" t="s">
        <v>621</v>
      </c>
      <c r="B295" s="641" t="s">
        <v>1451</v>
      </c>
      <c r="C295" s="624"/>
      <c r="D295" s="189" t="s">
        <v>37</v>
      </c>
      <c r="E295" s="188">
        <v>45726</v>
      </c>
      <c r="F295" s="505">
        <v>45727</v>
      </c>
      <c r="G295" s="447"/>
      <c r="H295" s="188">
        <v>45727</v>
      </c>
      <c r="I295" s="198">
        <f ca="1">IF(ISBLANK(H295), NETWORKDAYS(F295, TODAY(),fESTIVOS!$A$1:$A$18), NETWORKDAYS(F295, H295, fESTIVOS!$A$1:$A$18))</f>
        <v>1</v>
      </c>
      <c r="J295" s="447"/>
      <c r="K295" s="447"/>
      <c r="L295" s="447" t="s">
        <v>1452</v>
      </c>
      <c r="M295" s="223"/>
      <c r="N295" s="223"/>
      <c r="O295" s="223"/>
      <c r="P295" s="223"/>
      <c r="Q295" s="223"/>
      <c r="R295" s="223"/>
      <c r="S295" s="223"/>
      <c r="T295" s="223"/>
      <c r="U295" s="223"/>
      <c r="V295" s="223"/>
      <c r="W295" s="223"/>
      <c r="X295" s="223"/>
      <c r="Y295" s="223"/>
      <c r="Z295" s="223"/>
    </row>
    <row r="296" spans="1:26" ht="15.75" customHeight="1">
      <c r="A296" s="216" t="s">
        <v>621</v>
      </c>
      <c r="B296" s="582" t="s">
        <v>1453</v>
      </c>
      <c r="C296" s="642"/>
      <c r="D296" s="189" t="s">
        <v>37</v>
      </c>
      <c r="E296" s="188">
        <v>45726</v>
      </c>
      <c r="F296" s="188">
        <v>45726</v>
      </c>
      <c r="H296" s="643">
        <v>45727</v>
      </c>
      <c r="I296" s="198">
        <f ca="1">IF(ISBLANK(H296), NETWORKDAYS(F296, TODAY(),fESTIVOS!$A$1:$A$18), NETWORKDAYS(F296, H296, fESTIVOS!$A$1:$A$18))</f>
        <v>2</v>
      </c>
      <c r="K296" s="643">
        <v>45727</v>
      </c>
      <c r="L296" s="582" t="s">
        <v>1454</v>
      </c>
    </row>
    <row r="297" spans="1:26" ht="15.75" customHeight="1">
      <c r="A297" s="216" t="s">
        <v>621</v>
      </c>
      <c r="B297" s="491" t="s">
        <v>1455</v>
      </c>
      <c r="C297" s="490"/>
      <c r="D297" s="195" t="s">
        <v>37</v>
      </c>
      <c r="E297" s="220">
        <v>45722</v>
      </c>
      <c r="F297" s="220">
        <v>45722</v>
      </c>
      <c r="G297" s="220">
        <v>45694</v>
      </c>
      <c r="H297" s="220">
        <v>45727</v>
      </c>
      <c r="I297" s="198">
        <f ca="1">IF(ISBLANK(H297), NETWORKDAYS(F297, TODAY(),fESTIVOS!$A$1:$A$18), NETWORKDAYS(F297, H297, fESTIVOS!$A$1:$A$18))</f>
        <v>4</v>
      </c>
      <c r="J297" s="220">
        <v>45727</v>
      </c>
      <c r="K297" s="220">
        <v>45728</v>
      </c>
      <c r="L297" s="636" t="s">
        <v>1456</v>
      </c>
      <c r="M297" s="223"/>
      <c r="N297" s="223"/>
      <c r="O297" s="223"/>
      <c r="P297" s="223"/>
      <c r="Q297" s="223"/>
      <c r="R297" s="223"/>
      <c r="S297" s="223"/>
      <c r="T297" s="223"/>
      <c r="U297" s="223"/>
      <c r="V297" s="223"/>
      <c r="W297" s="223"/>
      <c r="X297" s="223"/>
      <c r="Y297" s="223"/>
      <c r="Z297" s="223"/>
    </row>
    <row r="298" spans="1:26" ht="15.75" customHeight="1">
      <c r="A298" s="216" t="s">
        <v>621</v>
      </c>
      <c r="B298" s="412" t="s">
        <v>1457</v>
      </c>
      <c r="C298" s="211"/>
      <c r="D298" s="195" t="s">
        <v>37</v>
      </c>
      <c r="E298" s="644">
        <v>45714</v>
      </c>
      <c r="F298" s="220">
        <v>45716</v>
      </c>
      <c r="G298" s="220"/>
      <c r="H298" s="196">
        <v>45722</v>
      </c>
      <c r="I298" s="198">
        <f ca="1">IF(ISBLANK(H298), NETWORKDAYS(F298, TODAY(),fESTIVOS!$A$1:$A$18), NETWORKDAYS(F298, H298, fESTIVOS!$A$1:$A$18))</f>
        <v>5</v>
      </c>
      <c r="J298" s="196">
        <v>45722</v>
      </c>
      <c r="K298" s="196">
        <v>45728</v>
      </c>
      <c r="L298" s="615" t="s">
        <v>1458</v>
      </c>
      <c r="M298" s="645" t="s">
        <v>1459</v>
      </c>
      <c r="N298" s="223"/>
      <c r="O298" s="223"/>
      <c r="P298" s="223"/>
      <c r="Q298" s="223"/>
      <c r="R298" s="223"/>
      <c r="S298" s="223"/>
      <c r="T298" s="223"/>
      <c r="U298" s="223"/>
      <c r="V298" s="223"/>
      <c r="W298" s="223"/>
      <c r="X298" s="223"/>
      <c r="Y298" s="223"/>
      <c r="Z298" s="223"/>
    </row>
    <row r="299" spans="1:26" ht="15.75" customHeight="1">
      <c r="A299" s="216" t="s">
        <v>596</v>
      </c>
      <c r="B299" s="646" t="s">
        <v>1460</v>
      </c>
      <c r="C299" s="626"/>
      <c r="D299" s="647" t="s">
        <v>37</v>
      </c>
      <c r="E299" s="567">
        <v>45694</v>
      </c>
      <c r="F299" s="567">
        <v>45695</v>
      </c>
      <c r="G299" s="565"/>
      <c r="H299" s="648">
        <v>45729</v>
      </c>
      <c r="I299" s="198">
        <f ca="1">IF(ISBLANK(H299), NETWORKDAYS(F299, TODAY(),fESTIVOS!$A$1:$A$18), NETWORKDAYS(F299, H299, fESTIVOS!$A$1:$A$18))</f>
        <v>25</v>
      </c>
      <c r="J299" s="567">
        <v>45715</v>
      </c>
      <c r="K299" s="648">
        <v>45729</v>
      </c>
      <c r="L299" s="649" t="s">
        <v>1461</v>
      </c>
      <c r="M299" s="178"/>
      <c r="N299" s="178"/>
      <c r="O299" s="178"/>
      <c r="P299" s="178"/>
      <c r="Q299" s="178"/>
      <c r="R299" s="178"/>
      <c r="S299" s="178"/>
      <c r="T299" s="178"/>
      <c r="U299" s="178"/>
      <c r="V299" s="178"/>
      <c r="W299" s="178"/>
      <c r="X299" s="178"/>
      <c r="Y299" s="178"/>
      <c r="Z299" s="178"/>
    </row>
    <row r="300" spans="1:26" ht="15.75" customHeight="1">
      <c r="A300" s="216" t="s">
        <v>596</v>
      </c>
      <c r="B300" s="650" t="s">
        <v>1462</v>
      </c>
      <c r="C300" s="642"/>
      <c r="D300" s="651" t="s">
        <v>37</v>
      </c>
      <c r="E300" s="643">
        <v>45726</v>
      </c>
      <c r="F300" s="643">
        <v>45726</v>
      </c>
      <c r="H300" s="643">
        <v>45733</v>
      </c>
      <c r="I300" s="198">
        <f ca="1">IF(ISBLANK(H300), NETWORKDAYS(F300, TODAY(),fESTIVOS!$A$1:$A$18), NETWORKDAYS(F300, H300, fESTIVOS!$A$1:$A$18))</f>
        <v>6</v>
      </c>
      <c r="L300" s="223" t="s">
        <v>1463</v>
      </c>
    </row>
    <row r="301" spans="1:26" ht="15.75" customHeight="1">
      <c r="A301" s="216" t="s">
        <v>596</v>
      </c>
      <c r="B301" s="652" t="s">
        <v>1464</v>
      </c>
      <c r="C301" s="653"/>
      <c r="D301" s="205" t="s">
        <v>37</v>
      </c>
      <c r="E301" s="574">
        <v>45730</v>
      </c>
      <c r="F301" s="574">
        <v>45733</v>
      </c>
      <c r="G301" s="574"/>
      <c r="H301" s="574">
        <v>45733</v>
      </c>
      <c r="I301" s="198">
        <f ca="1">IF(ISBLANK(H301), NETWORKDAYS(F301, TODAY(),fESTIVOS!$A$1:$A$18), NETWORKDAYS(F301, H301, fESTIVOS!$A$1:$A$18))</f>
        <v>1</v>
      </c>
      <c r="J301" s="574"/>
      <c r="K301" s="574"/>
      <c r="L301" s="654" t="s">
        <v>1465</v>
      </c>
      <c r="M301" s="178"/>
      <c r="N301" s="178"/>
      <c r="O301" s="178"/>
      <c r="P301" s="178"/>
      <c r="Q301" s="178"/>
      <c r="R301" s="178"/>
      <c r="S301" s="178"/>
      <c r="T301" s="178"/>
      <c r="U301" s="178"/>
      <c r="V301" s="178"/>
      <c r="W301" s="178"/>
      <c r="X301" s="178"/>
      <c r="Y301" s="178"/>
      <c r="Z301" s="178"/>
    </row>
    <row r="302" spans="1:26" ht="15.75" customHeight="1">
      <c r="A302" s="216" t="s">
        <v>621</v>
      </c>
      <c r="B302" s="635" t="s">
        <v>1466</v>
      </c>
      <c r="C302" s="655"/>
      <c r="D302" s="189" t="s">
        <v>37</v>
      </c>
      <c r="E302" s="507">
        <v>45730</v>
      </c>
      <c r="F302" s="507">
        <v>45730</v>
      </c>
      <c r="G302" s="506"/>
      <c r="H302" s="507">
        <v>45730</v>
      </c>
      <c r="I302" s="198">
        <f ca="1">IF(ISBLANK(H302), NETWORKDAYS(F302, TODAY(),fESTIVOS!$A$1:$A$18), NETWORKDAYS(F302, H302, fESTIVOS!$A$1:$A$18))</f>
        <v>1</v>
      </c>
      <c r="J302" s="506"/>
      <c r="K302" s="506"/>
      <c r="L302" s="506" t="s">
        <v>1467</v>
      </c>
    </row>
    <row r="303" spans="1:26" ht="15.75" customHeight="1">
      <c r="A303" s="216" t="s">
        <v>621</v>
      </c>
      <c r="B303" s="637" t="s">
        <v>1468</v>
      </c>
      <c r="C303" s="624"/>
      <c r="D303" s="189" t="s">
        <v>37</v>
      </c>
      <c r="E303" s="188">
        <v>45726</v>
      </c>
      <c r="F303" s="505">
        <v>45726</v>
      </c>
      <c r="G303" s="447"/>
      <c r="H303" s="188">
        <v>45727</v>
      </c>
      <c r="I303" s="198">
        <f ca="1">IF(ISBLANK(H303), NETWORKDAYS(F303, TODAY(),fESTIVOS!$A$1:$A$18), NETWORKDAYS(F303, H303, fESTIVOS!$A$1:$A$18))</f>
        <v>2</v>
      </c>
      <c r="J303" s="447"/>
      <c r="K303" s="447"/>
      <c r="L303" s="447" t="s">
        <v>1469</v>
      </c>
      <c r="M303" s="223"/>
      <c r="N303" s="223"/>
      <c r="O303" s="223"/>
      <c r="P303" s="223"/>
      <c r="Q303" s="223"/>
      <c r="R303" s="223"/>
      <c r="S303" s="223"/>
      <c r="T303" s="223"/>
      <c r="U303" s="223"/>
      <c r="V303" s="223"/>
      <c r="W303" s="223"/>
      <c r="X303" s="223"/>
      <c r="Y303" s="223"/>
      <c r="Z303" s="223"/>
    </row>
    <row r="304" spans="1:26" ht="15.75" customHeight="1">
      <c r="A304" s="495" t="s">
        <v>621</v>
      </c>
      <c r="B304" s="656" t="s">
        <v>1470</v>
      </c>
      <c r="C304" s="657"/>
      <c r="D304" s="420" t="s">
        <v>37</v>
      </c>
      <c r="E304" s="421">
        <v>45726</v>
      </c>
      <c r="F304" s="658">
        <v>45729</v>
      </c>
      <c r="G304" s="181"/>
      <c r="H304" s="421">
        <v>45736</v>
      </c>
      <c r="I304" s="659">
        <f ca="1">IF(ISBLANK(H304), NETWORKDAYS(F304, TODAY(),fESTIVOS!$A$1:$A$18), NETWORKDAYS(F304, H304, fESTIVOS!$A$1:$A$18))</f>
        <v>6</v>
      </c>
      <c r="J304" s="183">
        <v>45735</v>
      </c>
      <c r="K304" s="183">
        <v>45736</v>
      </c>
      <c r="L304" s="181" t="s">
        <v>1471</v>
      </c>
      <c r="M304" s="223"/>
      <c r="N304" s="223"/>
      <c r="O304" s="223"/>
      <c r="P304" s="223"/>
      <c r="Q304" s="223"/>
      <c r="R304" s="223"/>
      <c r="S304" s="223"/>
      <c r="T304" s="223"/>
      <c r="U304" s="223"/>
      <c r="V304" s="223"/>
      <c r="W304" s="223"/>
      <c r="X304" s="223"/>
      <c r="Y304" s="223"/>
      <c r="Z304" s="223"/>
    </row>
    <row r="305" spans="1:33" ht="15.75" customHeight="1">
      <c r="A305" s="216" t="s">
        <v>596</v>
      </c>
      <c r="B305" s="660" t="s">
        <v>1472</v>
      </c>
      <c r="C305" s="653"/>
      <c r="D305" s="205" t="s">
        <v>37</v>
      </c>
      <c r="E305" s="574">
        <v>45737</v>
      </c>
      <c r="F305" s="574">
        <v>45737</v>
      </c>
      <c r="G305" s="574"/>
      <c r="H305" s="574">
        <v>45737</v>
      </c>
      <c r="I305" s="198">
        <f ca="1">IF(ISBLANK(H305), NETWORKDAYS(F305, TODAY(),fESTIVOS!$A$1:$A$18), NETWORKDAYS(F305, H305, fESTIVOS!$A$1:$A$18))</f>
        <v>1</v>
      </c>
      <c r="J305" s="574"/>
      <c r="K305" s="574"/>
      <c r="L305" s="654" t="s">
        <v>1473</v>
      </c>
      <c r="M305" s="178"/>
      <c r="N305" s="178"/>
      <c r="O305" s="178"/>
      <c r="P305" s="178"/>
      <c r="Q305" s="178"/>
      <c r="R305" s="178"/>
      <c r="S305" s="178"/>
      <c r="T305" s="178"/>
      <c r="U305" s="178"/>
      <c r="V305" s="178"/>
      <c r="W305" s="178"/>
      <c r="X305" s="178"/>
      <c r="Y305" s="178"/>
      <c r="Z305" s="178"/>
    </row>
    <row r="306" spans="1:33" ht="15.75" customHeight="1">
      <c r="A306" s="216" t="s">
        <v>621</v>
      </c>
      <c r="B306" s="661" t="s">
        <v>1474</v>
      </c>
      <c r="C306" s="487"/>
      <c r="D306" s="189" t="s">
        <v>37</v>
      </c>
      <c r="E306" s="421">
        <v>45737</v>
      </c>
      <c r="F306" s="421">
        <v>45737</v>
      </c>
      <c r="G306" s="181"/>
      <c r="H306" s="421">
        <v>45737</v>
      </c>
      <c r="I306" s="198">
        <f ca="1">IF(ISBLANK(H306), NETWORKDAYS(F306, TODAY(),fESTIVOS!$A$1:$A$18), NETWORKDAYS(F306, H306, fESTIVOS!$A$1:$A$18))</f>
        <v>1</v>
      </c>
      <c r="J306" s="181"/>
      <c r="K306" s="181"/>
      <c r="L306" s="181" t="s">
        <v>1475</v>
      </c>
      <c r="M306" s="223"/>
      <c r="N306" s="223"/>
      <c r="O306" s="223"/>
      <c r="P306" s="223"/>
      <c r="Q306" s="223"/>
      <c r="R306" s="223"/>
      <c r="S306" s="223"/>
      <c r="T306" s="223"/>
      <c r="U306" s="223"/>
      <c r="V306" s="223"/>
      <c r="W306" s="223"/>
      <c r="X306" s="223"/>
      <c r="Y306" s="223"/>
      <c r="Z306" s="223"/>
    </row>
    <row r="307" spans="1:33" ht="15.75" customHeight="1">
      <c r="A307" s="201" t="s">
        <v>611</v>
      </c>
      <c r="B307" s="406" t="s">
        <v>1476</v>
      </c>
      <c r="C307" s="432"/>
      <c r="D307" s="216" t="s">
        <v>37</v>
      </c>
      <c r="E307" s="623">
        <v>45734</v>
      </c>
      <c r="F307" s="623">
        <v>45734</v>
      </c>
      <c r="G307" s="202"/>
      <c r="H307" s="623">
        <v>45741</v>
      </c>
      <c r="I307" s="190">
        <f ca="1">IF(ISBLANK(H307), NETWORKDAYS(F307, TODAY(),fESTIVOS!$A$1:$A$18), NETWORKDAYS(F307, H307, fESTIVOS!$A$1:$A$18))</f>
        <v>6</v>
      </c>
      <c r="J307" s="198"/>
      <c r="K307" s="623">
        <v>45741</v>
      </c>
      <c r="L307" s="662" t="s">
        <v>1477</v>
      </c>
      <c r="M307" s="663"/>
      <c r="N307" s="178"/>
      <c r="O307" s="178"/>
      <c r="P307" s="178"/>
      <c r="Q307" s="178"/>
      <c r="R307" s="178"/>
      <c r="S307" s="178"/>
      <c r="T307" s="178"/>
      <c r="U307" s="178"/>
      <c r="V307" s="178"/>
      <c r="W307" s="178"/>
      <c r="X307" s="178"/>
      <c r="Y307" s="178"/>
      <c r="Z307" s="178"/>
    </row>
    <row r="308" spans="1:33" ht="15.75" customHeight="1">
      <c r="A308" s="216" t="s">
        <v>621</v>
      </c>
      <c r="B308" s="661" t="s">
        <v>1478</v>
      </c>
      <c r="C308" s="487"/>
      <c r="D308" s="189" t="s">
        <v>37</v>
      </c>
      <c r="E308" s="421">
        <v>45741</v>
      </c>
      <c r="F308" s="421">
        <v>45741</v>
      </c>
      <c r="G308" s="181"/>
      <c r="H308" s="421">
        <v>45741</v>
      </c>
      <c r="I308" s="198">
        <f ca="1">IF(ISBLANK(H308), NETWORKDAYS(F308, TODAY(),fESTIVOS!$A$1:$A$18), NETWORKDAYS(F308, H308, fESTIVOS!$A$1:$A$18))</f>
        <v>1</v>
      </c>
      <c r="J308" s="181"/>
      <c r="K308" s="421">
        <v>45741</v>
      </c>
      <c r="L308" s="664" t="s">
        <v>1479</v>
      </c>
      <c r="M308" s="223"/>
      <c r="N308" s="223"/>
      <c r="O308" s="223"/>
      <c r="P308" s="223"/>
      <c r="Q308" s="223"/>
      <c r="R308" s="223"/>
      <c r="S308" s="223"/>
      <c r="T308" s="223"/>
      <c r="U308" s="223"/>
      <c r="V308" s="223"/>
      <c r="W308" s="223"/>
      <c r="X308" s="223"/>
      <c r="Y308" s="223"/>
      <c r="Z308" s="223"/>
    </row>
    <row r="309" spans="1:33" ht="15.75" customHeight="1">
      <c r="A309" s="216" t="s">
        <v>621</v>
      </c>
      <c r="B309" s="661" t="s">
        <v>1480</v>
      </c>
      <c r="C309" s="487"/>
      <c r="D309" s="189" t="s">
        <v>37</v>
      </c>
      <c r="E309" s="421">
        <v>45741</v>
      </c>
      <c r="F309" s="421">
        <v>45741</v>
      </c>
      <c r="G309" s="181"/>
      <c r="H309" s="421">
        <v>45741</v>
      </c>
      <c r="I309" s="198">
        <f ca="1">IF(ISBLANK(H309), NETWORKDAYS(F309, TODAY(),fESTIVOS!$A$1:$A$18), NETWORKDAYS(F309, H309, fESTIVOS!$A$1:$A$18))</f>
        <v>1</v>
      </c>
      <c r="J309" s="181"/>
      <c r="K309" s="181"/>
      <c r="L309" s="664" t="s">
        <v>1481</v>
      </c>
      <c r="M309" s="223"/>
      <c r="N309" s="223"/>
      <c r="O309" s="223"/>
      <c r="P309" s="223"/>
      <c r="Q309" s="223"/>
      <c r="R309" s="223"/>
      <c r="S309" s="223"/>
      <c r="T309" s="223"/>
      <c r="U309" s="223"/>
      <c r="V309" s="223"/>
      <c r="W309" s="223"/>
      <c r="X309" s="223"/>
      <c r="Y309" s="223"/>
      <c r="Z309" s="223"/>
    </row>
    <row r="310" spans="1:33" ht="15" customHeight="1">
      <c r="A310" s="216" t="s">
        <v>621</v>
      </c>
      <c r="B310" s="665" t="s">
        <v>1482</v>
      </c>
      <c r="C310" s="642"/>
      <c r="D310" s="619" t="s">
        <v>37</v>
      </c>
      <c r="E310" s="643">
        <v>45742</v>
      </c>
      <c r="F310" s="643">
        <v>45743</v>
      </c>
      <c r="I310" s="198">
        <f ca="1">IF(ISBLANK(H310), NETWORKDAYS(F310, TODAY(),fESTIVOS!$A$1:$A$18), NETWORKDAYS(F310, H310, fESTIVOS!$A$1:$A$18))</f>
        <v>251</v>
      </c>
      <c r="L310" s="223" t="s">
        <v>1483</v>
      </c>
    </row>
    <row r="311" spans="1:33" ht="15.75" customHeight="1">
      <c r="A311" s="201" t="s">
        <v>611</v>
      </c>
      <c r="B311" s="211" t="s">
        <v>1484</v>
      </c>
      <c r="C311" s="432"/>
      <c r="D311" s="216" t="s">
        <v>37</v>
      </c>
      <c r="E311" s="623">
        <v>45744</v>
      </c>
      <c r="F311" s="623">
        <v>45744</v>
      </c>
      <c r="G311" s="202"/>
      <c r="H311" s="623">
        <v>45744</v>
      </c>
      <c r="I311" s="190">
        <f ca="1">IF(ISBLANK(H311), NETWORKDAYS(F311, TODAY(),fESTIVOS!$A$1:$A$18), NETWORKDAYS(F311, H311, fESTIVOS!$A$1:$A$18))</f>
        <v>1</v>
      </c>
      <c r="J311" s="198"/>
      <c r="K311" s="623">
        <v>45744</v>
      </c>
      <c r="L311" s="662" t="s">
        <v>1485</v>
      </c>
      <c r="M311" s="663"/>
      <c r="N311" s="178"/>
      <c r="O311" s="178"/>
      <c r="P311" s="178"/>
      <c r="Q311" s="178"/>
      <c r="R311" s="178"/>
      <c r="S311" s="178"/>
      <c r="T311" s="178"/>
      <c r="U311" s="178"/>
      <c r="V311" s="178"/>
      <c r="W311" s="178"/>
      <c r="X311" s="178"/>
      <c r="Y311" s="178"/>
      <c r="Z311" s="178"/>
    </row>
    <row r="312" spans="1:33" ht="15" customHeight="1">
      <c r="A312" s="560" t="s">
        <v>621</v>
      </c>
      <c r="B312" s="665" t="s">
        <v>1486</v>
      </c>
      <c r="C312" s="655"/>
      <c r="D312" s="619" t="s">
        <v>37</v>
      </c>
      <c r="E312" s="643">
        <v>45743</v>
      </c>
      <c r="F312" s="643">
        <v>45744</v>
      </c>
      <c r="G312" s="223"/>
      <c r="H312" s="643">
        <v>45744</v>
      </c>
      <c r="I312" s="547">
        <f ca="1">IF(ISBLANK(H312), NETWORKDAYS(F312, TODAY(),fESTIVOS!$A$1:$A$18), NETWORKDAYS(F312, H312, fESTIVOS!$A$1:$A$18))</f>
        <v>1</v>
      </c>
      <c r="J312" s="223"/>
      <c r="K312" s="643">
        <v>45744</v>
      </c>
      <c r="L312" s="223" t="s">
        <v>1487</v>
      </c>
    </row>
    <row r="313" spans="1:33" ht="15.75" customHeight="1">
      <c r="A313" s="216" t="s">
        <v>621</v>
      </c>
      <c r="B313" s="467" t="s">
        <v>1488</v>
      </c>
      <c r="C313" s="624"/>
      <c r="D313" s="666" t="s">
        <v>37</v>
      </c>
      <c r="E313" s="220">
        <v>45744</v>
      </c>
      <c r="F313" s="220">
        <v>45744</v>
      </c>
      <c r="G313" s="218"/>
      <c r="H313" s="220">
        <v>45744</v>
      </c>
      <c r="I313" s="198">
        <f ca="1">IF(ISBLANK(H313), NETWORKDAYS(F313, TODAY(),fESTIVOS!$A$1:$A$18), NETWORKDAYS(F313, H313, fESTIVOS!$A$1:$A$18))</f>
        <v>1</v>
      </c>
      <c r="J313" s="220"/>
      <c r="K313" s="220">
        <v>45744</v>
      </c>
      <c r="L313" s="218" t="s">
        <v>1489</v>
      </c>
      <c r="M313" s="223"/>
      <c r="N313" s="223"/>
      <c r="O313" s="223"/>
      <c r="P313" s="223"/>
      <c r="Q313" s="223"/>
      <c r="R313" s="223"/>
      <c r="S313" s="223"/>
      <c r="T313" s="223"/>
      <c r="U313" s="223"/>
      <c r="V313" s="223"/>
      <c r="W313" s="223"/>
      <c r="X313" s="223"/>
      <c r="Y313" s="223"/>
      <c r="Z313" s="223"/>
    </row>
    <row r="314" spans="1:33" ht="15.75" customHeight="1">
      <c r="A314" s="216" t="s">
        <v>621</v>
      </c>
      <c r="B314" s="667" t="s">
        <v>622</v>
      </c>
      <c r="C314" s="624"/>
      <c r="D314" s="666" t="s">
        <v>37</v>
      </c>
      <c r="E314" s="220">
        <v>45671</v>
      </c>
      <c r="F314" s="221">
        <v>45673</v>
      </c>
      <c r="G314" s="218" t="s">
        <v>625</v>
      </c>
      <c r="H314" s="220">
        <v>45680</v>
      </c>
      <c r="I314" s="198">
        <f ca="1">IF(ISBLANK(H314), NETWORKDAYS(F314, TODAY(),fESTIVOS!$A$1:$A$18), NETWORKDAYS(F314, H314, fESTIVOS!$A$1:$A$18))</f>
        <v>6</v>
      </c>
      <c r="J314" s="220">
        <v>45680</v>
      </c>
      <c r="K314" s="218"/>
      <c r="L314" s="218" t="s">
        <v>1490</v>
      </c>
      <c r="M314" s="638" t="s">
        <v>1491</v>
      </c>
      <c r="N314" s="223"/>
      <c r="O314" s="223"/>
      <c r="P314" s="223"/>
      <c r="Q314" s="223"/>
      <c r="R314" s="223"/>
      <c r="S314" s="223"/>
      <c r="T314" s="223"/>
      <c r="U314" s="223"/>
      <c r="V314" s="223"/>
      <c r="W314" s="223"/>
      <c r="X314" s="223"/>
      <c r="Y314" s="223"/>
      <c r="Z314" s="223"/>
    </row>
    <row r="315" spans="1:33" ht="15.75" customHeight="1">
      <c r="A315" s="495" t="s">
        <v>621</v>
      </c>
      <c r="B315" s="668" t="s">
        <v>1492</v>
      </c>
      <c r="C315" s="226"/>
      <c r="D315" s="488" t="s">
        <v>37</v>
      </c>
      <c r="E315" s="421">
        <v>45736</v>
      </c>
      <c r="F315" s="421">
        <v>45736</v>
      </c>
      <c r="G315" s="181"/>
      <c r="H315" s="421">
        <v>45749</v>
      </c>
      <c r="I315" s="499">
        <f ca="1">IF(ISBLANK(H315), NETWORKDAYS(F315, TODAY(),fESTIVOS!$A$1:$A$18), NETWORKDAYS(F315, H315, fESTIVOS!$A$1:$A$18))</f>
        <v>10</v>
      </c>
      <c r="J315" s="183">
        <v>45749</v>
      </c>
      <c r="K315" s="183">
        <v>45755</v>
      </c>
      <c r="L315" s="664" t="s">
        <v>48</v>
      </c>
      <c r="M315" s="223"/>
      <c r="N315" s="223"/>
      <c r="O315" s="223"/>
      <c r="P315" s="223"/>
      <c r="Q315" s="223"/>
      <c r="R315" s="223"/>
      <c r="S315" s="223"/>
      <c r="T315" s="223"/>
      <c r="U315" s="223"/>
      <c r="V315" s="223"/>
      <c r="W315" s="223"/>
      <c r="X315" s="223"/>
      <c r="Y315" s="223"/>
      <c r="Z315" s="223"/>
    </row>
    <row r="316" spans="1:33" ht="15.75" customHeight="1">
      <c r="A316" s="201" t="s">
        <v>611</v>
      </c>
      <c r="B316" s="211" t="s">
        <v>1493</v>
      </c>
      <c r="C316" s="432"/>
      <c r="D316" s="201" t="s">
        <v>37</v>
      </c>
      <c r="E316" s="623">
        <v>45741</v>
      </c>
      <c r="F316" s="623">
        <v>45741</v>
      </c>
      <c r="G316" s="202"/>
      <c r="H316" s="202">
        <v>45755</v>
      </c>
      <c r="I316" s="198">
        <f ca="1">IF(ISBLANK(H316), NETWORKDAYS(F316, TODAY(),fESTIVOS!$A$1:$A$18), NETWORKDAYS(F316, H316, fESTIVOS!$A$1:$A$18))</f>
        <v>11</v>
      </c>
      <c r="J316" s="623"/>
      <c r="K316" s="202">
        <v>45755</v>
      </c>
      <c r="L316" s="662" t="s">
        <v>1494</v>
      </c>
      <c r="M316" s="413"/>
      <c r="N316" s="178"/>
      <c r="O316" s="178"/>
      <c r="P316" s="178"/>
      <c r="Q316" s="178"/>
      <c r="R316" s="178"/>
      <c r="S316" s="178"/>
      <c r="T316" s="178"/>
      <c r="U316" s="178"/>
      <c r="V316" s="178"/>
      <c r="W316" s="178"/>
      <c r="X316" s="178"/>
      <c r="Y316" s="178"/>
      <c r="Z316" s="178"/>
    </row>
    <row r="317" spans="1:33" ht="15.75" customHeight="1">
      <c r="A317" s="216" t="s">
        <v>596</v>
      </c>
      <c r="B317" s="669" t="s">
        <v>1495</v>
      </c>
      <c r="C317" s="626"/>
      <c r="D317" s="410" t="s">
        <v>37</v>
      </c>
      <c r="E317" s="567">
        <v>45709</v>
      </c>
      <c r="F317" s="567">
        <v>45715</v>
      </c>
      <c r="G317" s="565"/>
      <c r="H317" s="567">
        <v>45757</v>
      </c>
      <c r="I317" s="670">
        <f ca="1">IF(ISBLANK(H317), NETWORKDAYS(F317, TODAY(),fESTIVOS!$A$1:$A$18), NETWORKDAYS(F317, H317, fESTIVOS!$A$1:$A$18))</f>
        <v>31</v>
      </c>
      <c r="J317" s="567">
        <v>45716</v>
      </c>
      <c r="K317" s="567">
        <v>45757</v>
      </c>
      <c r="L317" s="649" t="s">
        <v>1496</v>
      </c>
      <c r="M317" s="178"/>
      <c r="N317" s="178"/>
      <c r="O317" s="178"/>
      <c r="P317" s="178"/>
      <c r="Q317" s="178"/>
      <c r="R317" s="178"/>
      <c r="S317" s="178"/>
      <c r="T317" s="178"/>
      <c r="U317" s="178"/>
      <c r="V317" s="178"/>
      <c r="W317" s="178"/>
      <c r="X317" s="178"/>
      <c r="Y317" s="178"/>
      <c r="Z317" s="178"/>
    </row>
    <row r="318" spans="1:33" ht="15.75" customHeight="1">
      <c r="A318" s="412" t="s">
        <v>596</v>
      </c>
      <c r="B318" s="671" t="s">
        <v>1497</v>
      </c>
      <c r="C318" s="672"/>
      <c r="D318" s="410" t="s">
        <v>37</v>
      </c>
      <c r="E318" s="673">
        <v>45695</v>
      </c>
      <c r="F318" s="628">
        <v>45712</v>
      </c>
      <c r="G318" s="673">
        <v>45715</v>
      </c>
      <c r="H318" s="673">
        <v>45757</v>
      </c>
      <c r="I318" s="190">
        <f ca="1">IF(ISBLANK(H318), NETWORKDAYS(F318, TODAY(),fESTIVOS!$A$1:$A$18), NETWORKDAYS(F318, H318, fESTIVOS!$A$1:$A$18))</f>
        <v>34</v>
      </c>
      <c r="J318" s="673">
        <v>45715</v>
      </c>
      <c r="K318" s="673">
        <v>45757</v>
      </c>
      <c r="L318" s="200" t="s">
        <v>1498</v>
      </c>
      <c r="M318" s="674"/>
      <c r="N318" s="674"/>
      <c r="O318" s="674"/>
      <c r="P318" s="674"/>
      <c r="Q318" s="674"/>
      <c r="R318" s="674"/>
      <c r="S318" s="674"/>
      <c r="T318" s="674"/>
      <c r="U318" s="674"/>
      <c r="V318" s="674"/>
      <c r="W318" s="674"/>
      <c r="X318" s="674"/>
      <c r="Y318" s="674"/>
      <c r="Z318" s="674"/>
      <c r="AA318" s="674"/>
      <c r="AB318" s="674"/>
      <c r="AC318" s="674"/>
      <c r="AD318" s="674"/>
      <c r="AE318" s="674"/>
      <c r="AF318" s="674"/>
      <c r="AG318" s="674"/>
    </row>
    <row r="319" spans="1:33" ht="15.75" customHeight="1">
      <c r="A319" s="216" t="s">
        <v>596</v>
      </c>
      <c r="B319" s="406" t="s">
        <v>1499</v>
      </c>
      <c r="C319" s="633"/>
      <c r="D319" s="410" t="s">
        <v>37</v>
      </c>
      <c r="E319" s="220">
        <v>45755</v>
      </c>
      <c r="F319" s="220">
        <v>45755</v>
      </c>
      <c r="G319" s="220"/>
      <c r="H319" s="220">
        <v>45757</v>
      </c>
      <c r="I319" s="198">
        <f ca="1">IF(ISBLANK(H319), NETWORKDAYS(F319, TODAY(),fESTIVOS!$A$1:$A$18), NETWORKDAYS(F319, H319, fESTIVOS!$A$1:$A$18))</f>
        <v>3</v>
      </c>
      <c r="J319" s="220"/>
      <c r="K319" s="220">
        <v>45757</v>
      </c>
      <c r="L319" s="636" t="s">
        <v>1500</v>
      </c>
      <c r="M319" s="178"/>
      <c r="N319" s="178"/>
      <c r="O319" s="178"/>
      <c r="P319" s="178"/>
      <c r="Q319" s="178"/>
      <c r="R319" s="178"/>
      <c r="S319" s="178"/>
      <c r="T319" s="178"/>
      <c r="U319" s="178"/>
      <c r="V319" s="178"/>
      <c r="W319" s="178"/>
      <c r="X319" s="178"/>
      <c r="Y319" s="178"/>
      <c r="Z319" s="178"/>
    </row>
    <row r="320" spans="1:33" ht="15.75" customHeight="1">
      <c r="A320" s="216" t="s">
        <v>621</v>
      </c>
      <c r="B320" s="637" t="s">
        <v>1501</v>
      </c>
      <c r="C320" s="624"/>
      <c r="D320" s="189" t="s">
        <v>37</v>
      </c>
      <c r="E320" s="188">
        <v>45749</v>
      </c>
      <c r="F320" s="188">
        <v>45749</v>
      </c>
      <c r="G320" s="447"/>
      <c r="H320" s="188">
        <v>45757</v>
      </c>
      <c r="I320" s="198">
        <f ca="1">IF(ISBLANK(H320), NETWORKDAYS(F320, TODAY(),fESTIVOS!$A$1:$A$18), NETWORKDAYS(F320, H320, fESTIVOS!$A$1:$A$18))</f>
        <v>7</v>
      </c>
      <c r="J320" s="447"/>
      <c r="K320" s="188">
        <v>45757</v>
      </c>
      <c r="L320" s="675" t="s">
        <v>1502</v>
      </c>
      <c r="M320" s="223"/>
      <c r="N320" s="223"/>
      <c r="O320" s="223"/>
      <c r="P320" s="223"/>
      <c r="Q320" s="223"/>
      <c r="R320" s="223"/>
      <c r="S320" s="223"/>
      <c r="T320" s="223"/>
      <c r="U320" s="223"/>
      <c r="V320" s="223"/>
      <c r="W320" s="223"/>
      <c r="X320" s="223"/>
      <c r="Y320" s="223"/>
      <c r="Z320" s="223"/>
    </row>
    <row r="321" spans="1:27" ht="29.25" customHeight="1">
      <c r="A321" s="520" t="s">
        <v>869</v>
      </c>
      <c r="B321" s="295" t="s">
        <v>1503</v>
      </c>
      <c r="C321" s="676" t="s">
        <v>1504</v>
      </c>
      <c r="D321" s="252"/>
      <c r="E321" s="528" t="s">
        <v>1505</v>
      </c>
      <c r="F321" s="522">
        <v>45688</v>
      </c>
      <c r="G321" s="522">
        <v>45691</v>
      </c>
      <c r="H321" s="522">
        <v>45694</v>
      </c>
      <c r="I321" s="521"/>
      <c r="J321" s="517">
        <f ca="1">IF(ISBLANK(I321), NETWORKDAYS(G321, TODAY(),fESTIVOS!$A$1:$A$18), NETWORKDAYS(G321, I321, fESTIVOS!$A$1:$A$18))</f>
        <v>289</v>
      </c>
      <c r="K321" s="522"/>
      <c r="L321" s="522"/>
      <c r="M321" s="677" t="s">
        <v>1506</v>
      </c>
      <c r="N321" s="413"/>
      <c r="O321" s="178"/>
      <c r="P321" s="178"/>
      <c r="Q321" s="178"/>
      <c r="R321" s="178"/>
      <c r="S321" s="178"/>
      <c r="T321" s="178"/>
      <c r="U321" s="178"/>
      <c r="V321" s="178"/>
      <c r="W321" s="178"/>
      <c r="X321" s="178"/>
      <c r="Y321" s="178"/>
      <c r="Z321" s="178"/>
      <c r="AA321" s="178"/>
    </row>
    <row r="322" spans="1:27" ht="15.75" customHeight="1">
      <c r="A322" s="270"/>
      <c r="B322" s="270"/>
      <c r="C322" s="270"/>
      <c r="D322" s="678"/>
      <c r="E322" s="270"/>
      <c r="F322" s="270"/>
      <c r="G322" s="270"/>
      <c r="H322" s="270"/>
      <c r="I322" s="270"/>
      <c r="J322" s="270"/>
      <c r="K322" s="270"/>
      <c r="L322" s="270"/>
      <c r="M322" s="270"/>
      <c r="N322" s="270"/>
      <c r="O322" s="270"/>
      <c r="P322" s="270"/>
      <c r="Q322" s="270"/>
      <c r="R322" s="270"/>
      <c r="S322" s="270"/>
      <c r="T322" s="270"/>
      <c r="U322" s="270"/>
      <c r="V322" s="270"/>
      <c r="W322" s="270"/>
      <c r="X322" s="270"/>
      <c r="Y322" s="270"/>
      <c r="Z322" s="270"/>
    </row>
    <row r="323" spans="1:27" ht="15.75" customHeight="1">
      <c r="A323" s="270"/>
      <c r="B323" s="270"/>
      <c r="C323" s="270"/>
      <c r="D323" s="678"/>
      <c r="E323" s="270"/>
      <c r="F323" s="270"/>
      <c r="G323" s="270"/>
      <c r="H323" s="270"/>
      <c r="I323" s="270"/>
      <c r="J323" s="270"/>
      <c r="K323" s="270"/>
      <c r="L323" s="270"/>
      <c r="M323" s="270"/>
      <c r="N323" s="270"/>
      <c r="O323" s="270"/>
      <c r="P323" s="270"/>
      <c r="Q323" s="270"/>
      <c r="R323" s="270"/>
      <c r="S323" s="270"/>
      <c r="T323" s="270"/>
      <c r="U323" s="270"/>
      <c r="V323" s="270"/>
      <c r="W323" s="270"/>
      <c r="X323" s="270"/>
      <c r="Y323" s="270"/>
      <c r="Z323" s="270"/>
    </row>
    <row r="324" spans="1:27" ht="15.75" customHeight="1">
      <c r="A324" s="270"/>
      <c r="B324" s="270"/>
      <c r="C324" s="270"/>
      <c r="D324" s="678"/>
      <c r="E324" s="270"/>
      <c r="F324" s="270"/>
      <c r="G324" s="270"/>
      <c r="H324" s="270"/>
      <c r="I324" s="270"/>
      <c r="J324" s="270"/>
      <c r="K324" s="270"/>
      <c r="L324" s="270"/>
      <c r="M324" s="270"/>
      <c r="N324" s="270"/>
      <c r="O324" s="270"/>
      <c r="P324" s="270"/>
      <c r="Q324" s="270"/>
      <c r="R324" s="270"/>
      <c r="S324" s="270"/>
      <c r="T324" s="270"/>
      <c r="U324" s="270"/>
      <c r="V324" s="270"/>
      <c r="W324" s="270"/>
      <c r="X324" s="270"/>
      <c r="Y324" s="270"/>
      <c r="Z324" s="270"/>
    </row>
    <row r="325" spans="1:27" ht="15.75" customHeight="1">
      <c r="A325" s="270"/>
      <c r="B325" s="270"/>
      <c r="C325" s="270"/>
      <c r="D325" s="678"/>
      <c r="E325" s="270"/>
      <c r="F325" s="270"/>
      <c r="G325" s="270"/>
      <c r="H325" s="270"/>
      <c r="I325" s="270"/>
      <c r="J325" s="270"/>
      <c r="K325" s="270"/>
      <c r="L325" s="270"/>
      <c r="M325" s="270"/>
      <c r="N325" s="270"/>
      <c r="O325" s="270"/>
      <c r="P325" s="270"/>
      <c r="Q325" s="270"/>
      <c r="R325" s="270"/>
      <c r="S325" s="270"/>
      <c r="T325" s="270"/>
      <c r="U325" s="270"/>
      <c r="V325" s="270"/>
      <c r="W325" s="270"/>
      <c r="X325" s="270"/>
      <c r="Y325" s="270"/>
      <c r="Z325" s="270"/>
    </row>
    <row r="326" spans="1:27" ht="15.75" customHeight="1">
      <c r="A326" s="270"/>
      <c r="B326" s="270"/>
      <c r="C326" s="270"/>
      <c r="D326" s="678"/>
      <c r="E326" s="270"/>
      <c r="F326" s="270"/>
      <c r="G326" s="270"/>
      <c r="H326" s="270"/>
      <c r="I326" s="270"/>
      <c r="J326" s="270"/>
      <c r="K326" s="270"/>
      <c r="L326" s="270"/>
      <c r="M326" s="270"/>
      <c r="N326" s="270"/>
      <c r="O326" s="270"/>
      <c r="P326" s="270"/>
      <c r="Q326" s="270"/>
      <c r="R326" s="270"/>
      <c r="S326" s="270"/>
      <c r="T326" s="270"/>
      <c r="U326" s="270"/>
      <c r="V326" s="270"/>
      <c r="W326" s="270"/>
      <c r="X326" s="270"/>
      <c r="Y326" s="270"/>
      <c r="Z326" s="270"/>
    </row>
    <row r="327" spans="1:27" ht="15.75" customHeight="1">
      <c r="A327" s="270"/>
      <c r="B327" s="270"/>
      <c r="C327" s="270"/>
      <c r="D327" s="678"/>
      <c r="E327" s="270"/>
      <c r="F327" s="270"/>
      <c r="G327" s="270"/>
      <c r="H327" s="270"/>
      <c r="I327" s="270"/>
      <c r="J327" s="270"/>
      <c r="K327" s="270"/>
      <c r="L327" s="270"/>
      <c r="M327" s="270"/>
      <c r="N327" s="270"/>
      <c r="O327" s="270"/>
      <c r="P327" s="270"/>
      <c r="Q327" s="270"/>
      <c r="R327" s="270"/>
      <c r="S327" s="270"/>
      <c r="T327" s="270"/>
      <c r="U327" s="270"/>
      <c r="V327" s="270"/>
      <c r="W327" s="270"/>
      <c r="X327" s="270"/>
      <c r="Y327" s="270"/>
      <c r="Z327" s="270"/>
    </row>
    <row r="328" spans="1:27" ht="15.75" customHeight="1">
      <c r="A328" s="270"/>
      <c r="B328" s="270"/>
      <c r="C328" s="270"/>
      <c r="D328" s="678"/>
      <c r="E328" s="270"/>
      <c r="F328" s="270"/>
      <c r="G328" s="270"/>
      <c r="H328" s="270"/>
      <c r="I328" s="270"/>
      <c r="J328" s="270"/>
      <c r="K328" s="270"/>
      <c r="L328" s="270"/>
      <c r="M328" s="270"/>
      <c r="N328" s="270"/>
      <c r="O328" s="270"/>
      <c r="P328" s="270"/>
      <c r="Q328" s="270"/>
      <c r="R328" s="270"/>
      <c r="S328" s="270"/>
      <c r="T328" s="270"/>
      <c r="U328" s="270"/>
      <c r="V328" s="270"/>
      <c r="W328" s="270"/>
      <c r="X328" s="270"/>
      <c r="Y328" s="270"/>
      <c r="Z328" s="270"/>
    </row>
    <row r="329" spans="1:27" ht="15.75" customHeight="1">
      <c r="A329" s="270"/>
      <c r="B329" s="270"/>
      <c r="C329" s="270"/>
      <c r="D329" s="678"/>
      <c r="E329" s="270"/>
      <c r="F329" s="270"/>
      <c r="G329" s="270"/>
      <c r="H329" s="270"/>
      <c r="I329" s="270"/>
      <c r="J329" s="270"/>
      <c r="K329" s="270"/>
      <c r="L329" s="270"/>
      <c r="M329" s="270"/>
      <c r="N329" s="270"/>
      <c r="O329" s="270"/>
      <c r="P329" s="270"/>
      <c r="Q329" s="270"/>
      <c r="R329" s="270"/>
      <c r="S329" s="270"/>
      <c r="T329" s="270"/>
      <c r="U329" s="270"/>
      <c r="V329" s="270"/>
      <c r="W329" s="270"/>
      <c r="X329" s="270"/>
      <c r="Y329" s="270"/>
      <c r="Z329" s="270"/>
    </row>
    <row r="330" spans="1:27" ht="15.75" customHeight="1">
      <c r="A330" s="270"/>
      <c r="B330" s="270"/>
      <c r="C330" s="270"/>
      <c r="D330" s="678"/>
      <c r="E330" s="270"/>
      <c r="F330" s="270"/>
      <c r="G330" s="270"/>
      <c r="H330" s="270"/>
      <c r="I330" s="270"/>
      <c r="J330" s="270"/>
      <c r="K330" s="270"/>
      <c r="L330" s="270"/>
      <c r="M330" s="270"/>
      <c r="N330" s="270"/>
      <c r="O330" s="270"/>
      <c r="P330" s="270"/>
      <c r="Q330" s="270"/>
      <c r="R330" s="270"/>
      <c r="S330" s="270"/>
      <c r="T330" s="270"/>
      <c r="U330" s="270"/>
      <c r="V330" s="270"/>
      <c r="W330" s="270"/>
      <c r="X330" s="270"/>
      <c r="Y330" s="270"/>
      <c r="Z330" s="270"/>
    </row>
    <row r="331" spans="1:27" ht="15.75" customHeight="1">
      <c r="A331" s="270"/>
      <c r="B331" s="270"/>
      <c r="C331" s="270"/>
      <c r="D331" s="678"/>
      <c r="E331" s="270"/>
      <c r="F331" s="270"/>
      <c r="G331" s="270"/>
      <c r="H331" s="270"/>
      <c r="I331" s="270"/>
      <c r="J331" s="270"/>
      <c r="K331" s="270"/>
      <c r="L331" s="270"/>
      <c r="M331" s="270"/>
      <c r="N331" s="270"/>
      <c r="O331" s="270"/>
      <c r="P331" s="270"/>
      <c r="Q331" s="270"/>
      <c r="R331" s="270"/>
      <c r="S331" s="270"/>
      <c r="T331" s="270"/>
      <c r="U331" s="270"/>
      <c r="V331" s="270"/>
      <c r="W331" s="270"/>
      <c r="X331" s="270"/>
      <c r="Y331" s="270"/>
      <c r="Z331" s="270"/>
    </row>
    <row r="332" spans="1:27" ht="15.75" customHeight="1">
      <c r="A332" s="270"/>
      <c r="B332" s="270"/>
      <c r="C332" s="270"/>
      <c r="D332" s="678"/>
      <c r="E332" s="270"/>
      <c r="F332" s="270"/>
      <c r="G332" s="270"/>
      <c r="H332" s="270"/>
      <c r="I332" s="270"/>
      <c r="J332" s="270"/>
      <c r="K332" s="270"/>
      <c r="L332" s="270"/>
      <c r="M332" s="270"/>
      <c r="N332" s="270"/>
      <c r="O332" s="270"/>
      <c r="P332" s="270"/>
      <c r="Q332" s="270"/>
      <c r="R332" s="270"/>
      <c r="S332" s="270"/>
      <c r="T332" s="270"/>
      <c r="U332" s="270"/>
      <c r="V332" s="270"/>
      <c r="W332" s="270"/>
      <c r="X332" s="270"/>
      <c r="Y332" s="270"/>
      <c r="Z332" s="270"/>
    </row>
    <row r="333" spans="1:27" ht="15.75" customHeight="1">
      <c r="A333" s="270"/>
      <c r="B333" s="270"/>
      <c r="C333" s="270"/>
      <c r="D333" s="678"/>
      <c r="E333" s="270"/>
      <c r="F333" s="270"/>
      <c r="G333" s="270"/>
      <c r="H333" s="270"/>
      <c r="I333" s="270"/>
      <c r="J333" s="270"/>
      <c r="K333" s="270"/>
      <c r="L333" s="270"/>
      <c r="M333" s="270"/>
      <c r="N333" s="270"/>
      <c r="O333" s="270"/>
      <c r="P333" s="270"/>
      <c r="Q333" s="270"/>
      <c r="R333" s="270"/>
      <c r="S333" s="270"/>
      <c r="T333" s="270"/>
      <c r="U333" s="270"/>
      <c r="V333" s="270"/>
      <c r="W333" s="270"/>
      <c r="X333" s="270"/>
      <c r="Y333" s="270"/>
      <c r="Z333" s="270"/>
    </row>
    <row r="334" spans="1:27" ht="15.75" customHeight="1">
      <c r="A334" s="270"/>
      <c r="B334" s="270"/>
      <c r="C334" s="270"/>
      <c r="D334" s="678"/>
      <c r="E334" s="270"/>
      <c r="F334" s="270"/>
      <c r="G334" s="270"/>
      <c r="H334" s="270"/>
      <c r="I334" s="270"/>
      <c r="J334" s="270"/>
      <c r="K334" s="270"/>
      <c r="L334" s="270"/>
      <c r="M334" s="270"/>
      <c r="N334" s="270"/>
      <c r="O334" s="270"/>
      <c r="P334" s="270"/>
      <c r="Q334" s="270"/>
      <c r="R334" s="270"/>
      <c r="S334" s="270"/>
      <c r="T334" s="270"/>
      <c r="U334" s="270"/>
      <c r="V334" s="270"/>
      <c r="W334" s="270"/>
      <c r="X334" s="270"/>
      <c r="Y334" s="270"/>
      <c r="Z334" s="270"/>
    </row>
    <row r="335" spans="1:27" ht="15.75" customHeight="1">
      <c r="A335" s="270"/>
      <c r="B335" s="270"/>
      <c r="C335" s="270"/>
      <c r="D335" s="678"/>
      <c r="E335" s="270"/>
      <c r="F335" s="270"/>
      <c r="G335" s="270"/>
      <c r="H335" s="270"/>
      <c r="I335" s="270"/>
      <c r="J335" s="270"/>
      <c r="K335" s="270"/>
      <c r="L335" s="270"/>
      <c r="M335" s="270"/>
      <c r="N335" s="270"/>
      <c r="O335" s="270"/>
      <c r="P335" s="270"/>
      <c r="Q335" s="270"/>
      <c r="R335" s="270"/>
      <c r="S335" s="270"/>
      <c r="T335" s="270"/>
      <c r="U335" s="270"/>
      <c r="V335" s="270"/>
      <c r="W335" s="270"/>
      <c r="X335" s="270"/>
      <c r="Y335" s="270"/>
      <c r="Z335" s="270"/>
    </row>
    <row r="336" spans="1:27" ht="15.75" customHeight="1">
      <c r="A336" s="270"/>
      <c r="B336" s="270"/>
      <c r="C336" s="270"/>
      <c r="D336" s="678"/>
      <c r="E336" s="270"/>
      <c r="F336" s="270"/>
      <c r="G336" s="270"/>
      <c r="H336" s="270"/>
      <c r="I336" s="270"/>
      <c r="J336" s="270"/>
      <c r="K336" s="270"/>
      <c r="L336" s="270"/>
      <c r="M336" s="270"/>
      <c r="N336" s="270"/>
      <c r="O336" s="270"/>
      <c r="P336" s="270"/>
      <c r="Q336" s="270"/>
      <c r="R336" s="270"/>
      <c r="S336" s="270"/>
      <c r="T336" s="270"/>
      <c r="U336" s="270"/>
      <c r="V336" s="270"/>
      <c r="W336" s="270"/>
      <c r="X336" s="270"/>
      <c r="Y336" s="270"/>
      <c r="Z336" s="270"/>
    </row>
    <row r="337" spans="1:26" ht="15.75" customHeight="1">
      <c r="A337" s="270"/>
      <c r="B337" s="270"/>
      <c r="C337" s="270"/>
      <c r="D337" s="678"/>
      <c r="E337" s="270"/>
      <c r="F337" s="270"/>
      <c r="G337" s="270"/>
      <c r="H337" s="270"/>
      <c r="I337" s="270"/>
      <c r="J337" s="270"/>
      <c r="K337" s="270"/>
      <c r="L337" s="270"/>
      <c r="M337" s="270"/>
      <c r="N337" s="270"/>
      <c r="O337" s="270"/>
      <c r="P337" s="270"/>
      <c r="Q337" s="270"/>
      <c r="R337" s="270"/>
      <c r="S337" s="270"/>
      <c r="T337" s="270"/>
      <c r="U337" s="270"/>
      <c r="V337" s="270"/>
      <c r="W337" s="270"/>
      <c r="X337" s="270"/>
      <c r="Y337" s="270"/>
      <c r="Z337" s="270"/>
    </row>
    <row r="338" spans="1:26" ht="15.75" customHeight="1">
      <c r="A338" s="270"/>
      <c r="B338" s="270"/>
      <c r="C338" s="270"/>
      <c r="D338" s="678"/>
      <c r="E338" s="270"/>
      <c r="F338" s="270"/>
      <c r="G338" s="270"/>
      <c r="H338" s="270"/>
      <c r="I338" s="270"/>
      <c r="J338" s="270"/>
      <c r="K338" s="270"/>
      <c r="L338" s="270"/>
      <c r="M338" s="270"/>
      <c r="N338" s="270"/>
      <c r="O338" s="270"/>
      <c r="P338" s="270"/>
      <c r="Q338" s="270"/>
      <c r="R338" s="270"/>
      <c r="S338" s="270"/>
      <c r="T338" s="270"/>
      <c r="U338" s="270"/>
      <c r="V338" s="270"/>
      <c r="W338" s="270"/>
      <c r="X338" s="270"/>
      <c r="Y338" s="270"/>
      <c r="Z338" s="270"/>
    </row>
    <row r="339" spans="1:26" ht="15.75" customHeight="1">
      <c r="A339" s="270"/>
      <c r="B339" s="270"/>
      <c r="C339" s="270"/>
      <c r="D339" s="678"/>
      <c r="E339" s="270"/>
      <c r="F339" s="270"/>
      <c r="G339" s="270"/>
      <c r="H339" s="270"/>
      <c r="I339" s="270"/>
      <c r="J339" s="270"/>
      <c r="K339" s="270"/>
      <c r="L339" s="270"/>
      <c r="M339" s="270"/>
      <c r="N339" s="270"/>
      <c r="O339" s="270"/>
      <c r="P339" s="270"/>
      <c r="Q339" s="270"/>
      <c r="R339" s="270"/>
      <c r="S339" s="270"/>
      <c r="T339" s="270"/>
      <c r="U339" s="270"/>
      <c r="V339" s="270"/>
      <c r="W339" s="270"/>
      <c r="X339" s="270"/>
      <c r="Y339" s="270"/>
      <c r="Z339" s="270"/>
    </row>
    <row r="340" spans="1:26" ht="15.75" customHeight="1">
      <c r="A340" s="270"/>
      <c r="B340" s="270"/>
      <c r="C340" s="270"/>
      <c r="D340" s="678"/>
      <c r="E340" s="270"/>
      <c r="F340" s="270"/>
      <c r="G340" s="270"/>
      <c r="H340" s="270"/>
      <c r="I340" s="270"/>
      <c r="J340" s="270"/>
      <c r="K340" s="270"/>
      <c r="L340" s="270"/>
      <c r="M340" s="270"/>
      <c r="N340" s="270"/>
      <c r="O340" s="270"/>
      <c r="P340" s="270"/>
      <c r="Q340" s="270"/>
      <c r="R340" s="270"/>
      <c r="S340" s="270"/>
      <c r="T340" s="270"/>
      <c r="U340" s="270"/>
      <c r="V340" s="270"/>
      <c r="W340" s="270"/>
      <c r="X340" s="270"/>
      <c r="Y340" s="270"/>
      <c r="Z340" s="270"/>
    </row>
    <row r="341" spans="1:26" ht="15.75" customHeight="1">
      <c r="A341" s="270"/>
      <c r="B341" s="270"/>
      <c r="C341" s="270"/>
      <c r="D341" s="678"/>
      <c r="E341" s="270"/>
      <c r="F341" s="270"/>
      <c r="G341" s="270"/>
      <c r="H341" s="270"/>
      <c r="I341" s="270"/>
      <c r="J341" s="270"/>
      <c r="K341" s="270"/>
      <c r="L341" s="270"/>
      <c r="M341" s="270"/>
      <c r="N341" s="270"/>
      <c r="O341" s="270"/>
      <c r="P341" s="270"/>
      <c r="Q341" s="270"/>
      <c r="R341" s="270"/>
      <c r="S341" s="270"/>
      <c r="T341" s="270"/>
      <c r="U341" s="270"/>
      <c r="V341" s="270"/>
      <c r="W341" s="270"/>
      <c r="X341" s="270"/>
      <c r="Y341" s="270"/>
      <c r="Z341" s="270"/>
    </row>
    <row r="342" spans="1:26" ht="15.75" customHeight="1">
      <c r="A342" s="270"/>
      <c r="B342" s="270"/>
      <c r="C342" s="270"/>
      <c r="D342" s="678"/>
      <c r="E342" s="270"/>
      <c r="F342" s="270"/>
      <c r="G342" s="270"/>
      <c r="H342" s="270"/>
      <c r="I342" s="270"/>
      <c r="J342" s="270"/>
      <c r="K342" s="270"/>
      <c r="L342" s="270"/>
      <c r="M342" s="270"/>
      <c r="N342" s="270"/>
      <c r="O342" s="270"/>
      <c r="P342" s="270"/>
      <c r="Q342" s="270"/>
      <c r="R342" s="270"/>
      <c r="S342" s="270"/>
      <c r="T342" s="270"/>
      <c r="U342" s="270"/>
      <c r="V342" s="270"/>
      <c r="W342" s="270"/>
      <c r="X342" s="270"/>
      <c r="Y342" s="270"/>
      <c r="Z342" s="270"/>
    </row>
    <row r="343" spans="1:26" ht="15.75" customHeight="1">
      <c r="A343" s="270"/>
      <c r="B343" s="270"/>
      <c r="C343" s="270"/>
      <c r="D343" s="678"/>
      <c r="E343" s="270"/>
      <c r="F343" s="270"/>
      <c r="G343" s="270"/>
      <c r="H343" s="270"/>
      <c r="I343" s="270"/>
      <c r="J343" s="270"/>
      <c r="K343" s="270"/>
      <c r="L343" s="270"/>
      <c r="M343" s="270"/>
      <c r="N343" s="270"/>
      <c r="O343" s="270"/>
      <c r="P343" s="270"/>
      <c r="Q343" s="270"/>
      <c r="R343" s="270"/>
      <c r="S343" s="270"/>
      <c r="T343" s="270"/>
      <c r="U343" s="270"/>
      <c r="V343" s="270"/>
      <c r="W343" s="270"/>
      <c r="X343" s="270"/>
      <c r="Y343" s="270"/>
      <c r="Z343" s="270"/>
    </row>
    <row r="344" spans="1:26" ht="15.75" customHeight="1">
      <c r="A344" s="270"/>
      <c r="B344" s="270"/>
      <c r="C344" s="270"/>
      <c r="D344" s="678"/>
      <c r="E344" s="270"/>
      <c r="F344" s="270"/>
      <c r="G344" s="270"/>
      <c r="H344" s="270"/>
      <c r="I344" s="270"/>
      <c r="J344" s="270"/>
      <c r="K344" s="270"/>
      <c r="L344" s="270"/>
      <c r="M344" s="270"/>
      <c r="N344" s="270"/>
      <c r="O344" s="270"/>
      <c r="P344" s="270"/>
      <c r="Q344" s="270"/>
      <c r="R344" s="270"/>
      <c r="S344" s="270"/>
      <c r="T344" s="270"/>
      <c r="U344" s="270"/>
      <c r="V344" s="270"/>
      <c r="W344" s="270"/>
      <c r="X344" s="270"/>
      <c r="Y344" s="270"/>
      <c r="Z344" s="270"/>
    </row>
    <row r="345" spans="1:26" ht="15.75" customHeight="1">
      <c r="A345" s="270"/>
      <c r="B345" s="270"/>
      <c r="C345" s="270"/>
      <c r="D345" s="678"/>
      <c r="E345" s="270"/>
      <c r="F345" s="270"/>
      <c r="G345" s="270"/>
      <c r="H345" s="270"/>
      <c r="I345" s="270"/>
      <c r="J345" s="270"/>
      <c r="K345" s="270"/>
      <c r="L345" s="270"/>
      <c r="M345" s="270"/>
      <c r="N345" s="270"/>
      <c r="O345" s="270"/>
      <c r="P345" s="270"/>
      <c r="Q345" s="270"/>
      <c r="R345" s="270"/>
      <c r="S345" s="270"/>
      <c r="T345" s="270"/>
      <c r="U345" s="270"/>
      <c r="V345" s="270"/>
      <c r="W345" s="270"/>
      <c r="X345" s="270"/>
      <c r="Y345" s="270"/>
      <c r="Z345" s="270"/>
    </row>
    <row r="346" spans="1:26" ht="15.75" customHeight="1">
      <c r="A346" s="270"/>
      <c r="B346" s="270"/>
      <c r="C346" s="270"/>
      <c r="D346" s="678"/>
      <c r="E346" s="270"/>
      <c r="F346" s="270"/>
      <c r="G346" s="270"/>
      <c r="H346" s="270"/>
      <c r="I346" s="270"/>
      <c r="J346" s="270"/>
      <c r="K346" s="270"/>
      <c r="L346" s="270"/>
      <c r="M346" s="270"/>
      <c r="N346" s="270"/>
      <c r="O346" s="270"/>
      <c r="P346" s="270"/>
      <c r="Q346" s="270"/>
      <c r="R346" s="270"/>
      <c r="S346" s="270"/>
      <c r="T346" s="270"/>
      <c r="U346" s="270"/>
      <c r="V346" s="270"/>
      <c r="W346" s="270"/>
      <c r="X346" s="270"/>
      <c r="Y346" s="270"/>
      <c r="Z346" s="270"/>
    </row>
    <row r="347" spans="1:26" ht="15.75" customHeight="1">
      <c r="A347" s="270"/>
      <c r="B347" s="270"/>
      <c r="C347" s="270"/>
      <c r="D347" s="678"/>
      <c r="E347" s="270"/>
      <c r="F347" s="270"/>
      <c r="G347" s="270"/>
      <c r="H347" s="270"/>
      <c r="I347" s="270"/>
      <c r="J347" s="270"/>
      <c r="K347" s="270"/>
      <c r="L347" s="270"/>
      <c r="M347" s="270"/>
      <c r="N347" s="270"/>
      <c r="O347" s="270"/>
      <c r="P347" s="270"/>
      <c r="Q347" s="270"/>
      <c r="R347" s="270"/>
      <c r="S347" s="270"/>
      <c r="T347" s="270"/>
      <c r="U347" s="270"/>
      <c r="V347" s="270"/>
      <c r="W347" s="270"/>
      <c r="X347" s="270"/>
      <c r="Y347" s="270"/>
      <c r="Z347" s="270"/>
    </row>
    <row r="348" spans="1:26" ht="15.75" customHeight="1">
      <c r="A348" s="270"/>
      <c r="B348" s="270"/>
      <c r="C348" s="270"/>
      <c r="D348" s="678"/>
      <c r="E348" s="270"/>
      <c r="F348" s="270"/>
      <c r="G348" s="270"/>
      <c r="H348" s="270"/>
      <c r="I348" s="270"/>
      <c r="J348" s="270"/>
      <c r="K348" s="270"/>
      <c r="L348" s="270"/>
      <c r="M348" s="270"/>
      <c r="N348" s="270"/>
      <c r="O348" s="270"/>
      <c r="P348" s="270"/>
      <c r="Q348" s="270"/>
      <c r="R348" s="270"/>
      <c r="S348" s="270"/>
      <c r="T348" s="270"/>
      <c r="U348" s="270"/>
      <c r="V348" s="270"/>
      <c r="W348" s="270"/>
      <c r="X348" s="270"/>
      <c r="Y348" s="270"/>
      <c r="Z348" s="270"/>
    </row>
    <row r="349" spans="1:26" ht="15.75" customHeight="1">
      <c r="A349" s="270"/>
      <c r="B349" s="270"/>
      <c r="C349" s="270"/>
      <c r="D349" s="678"/>
      <c r="E349" s="270"/>
      <c r="F349" s="270"/>
      <c r="G349" s="270"/>
      <c r="H349" s="270"/>
      <c r="I349" s="270"/>
      <c r="J349" s="270"/>
      <c r="K349" s="270"/>
      <c r="L349" s="270"/>
      <c r="M349" s="270"/>
      <c r="N349" s="270"/>
      <c r="O349" s="270"/>
      <c r="P349" s="270"/>
      <c r="Q349" s="270"/>
      <c r="R349" s="270"/>
      <c r="S349" s="270"/>
      <c r="T349" s="270"/>
      <c r="U349" s="270"/>
      <c r="V349" s="270"/>
      <c r="W349" s="270"/>
      <c r="X349" s="270"/>
      <c r="Y349" s="270"/>
      <c r="Z349" s="270"/>
    </row>
    <row r="350" spans="1:26" ht="15.75" customHeight="1">
      <c r="A350" s="270"/>
      <c r="B350" s="270"/>
      <c r="C350" s="270"/>
      <c r="D350" s="678"/>
      <c r="E350" s="270"/>
      <c r="F350" s="270"/>
      <c r="G350" s="270"/>
      <c r="H350" s="270"/>
      <c r="I350" s="270"/>
      <c r="J350" s="270"/>
      <c r="K350" s="270"/>
      <c r="L350" s="270"/>
      <c r="M350" s="270"/>
      <c r="N350" s="270"/>
      <c r="O350" s="270"/>
      <c r="P350" s="270"/>
      <c r="Q350" s="270"/>
      <c r="R350" s="270"/>
      <c r="S350" s="270"/>
      <c r="T350" s="270"/>
      <c r="U350" s="270"/>
      <c r="V350" s="270"/>
      <c r="W350" s="270"/>
      <c r="X350" s="270"/>
      <c r="Y350" s="270"/>
      <c r="Z350" s="270"/>
    </row>
    <row r="351" spans="1:26" ht="15.75" customHeight="1">
      <c r="A351" s="270"/>
      <c r="B351" s="270"/>
      <c r="C351" s="270"/>
      <c r="D351" s="678"/>
      <c r="E351" s="270"/>
      <c r="F351" s="270"/>
      <c r="G351" s="270"/>
      <c r="H351" s="270"/>
      <c r="I351" s="270"/>
      <c r="J351" s="270"/>
      <c r="K351" s="270"/>
      <c r="L351" s="270"/>
      <c r="M351" s="270"/>
      <c r="N351" s="270"/>
      <c r="O351" s="270"/>
      <c r="P351" s="270"/>
      <c r="Q351" s="270"/>
      <c r="R351" s="270"/>
      <c r="S351" s="270"/>
      <c r="T351" s="270"/>
      <c r="U351" s="270"/>
      <c r="V351" s="270"/>
      <c r="W351" s="270"/>
      <c r="X351" s="270"/>
      <c r="Y351" s="270"/>
      <c r="Z351" s="270"/>
    </row>
    <row r="352" spans="1:26" ht="15.75" customHeight="1">
      <c r="A352" s="270"/>
      <c r="B352" s="270"/>
      <c r="C352" s="270"/>
      <c r="D352" s="678"/>
      <c r="E352" s="270"/>
      <c r="F352" s="270"/>
      <c r="G352" s="270"/>
      <c r="H352" s="270"/>
      <c r="I352" s="270"/>
      <c r="J352" s="270"/>
      <c r="K352" s="270"/>
      <c r="L352" s="270"/>
      <c r="M352" s="270"/>
      <c r="N352" s="270"/>
      <c r="O352" s="270"/>
      <c r="P352" s="270"/>
      <c r="Q352" s="270"/>
      <c r="R352" s="270"/>
      <c r="S352" s="270"/>
      <c r="T352" s="270"/>
      <c r="U352" s="270"/>
      <c r="V352" s="270"/>
      <c r="W352" s="270"/>
      <c r="X352" s="270"/>
      <c r="Y352" s="270"/>
      <c r="Z352" s="270"/>
    </row>
    <row r="353" spans="1:26" ht="15.75" customHeight="1">
      <c r="A353" s="270"/>
      <c r="B353" s="270"/>
      <c r="C353" s="270"/>
      <c r="D353" s="678"/>
      <c r="E353" s="270"/>
      <c r="F353" s="270"/>
      <c r="G353" s="270"/>
      <c r="H353" s="270"/>
      <c r="I353" s="270"/>
      <c r="J353" s="270"/>
      <c r="K353" s="270"/>
      <c r="L353" s="270"/>
      <c r="M353" s="270"/>
      <c r="N353" s="270"/>
      <c r="O353" s="270"/>
      <c r="P353" s="270"/>
      <c r="Q353" s="270"/>
      <c r="R353" s="270"/>
      <c r="S353" s="270"/>
      <c r="T353" s="270"/>
      <c r="U353" s="270"/>
      <c r="V353" s="270"/>
      <c r="W353" s="270"/>
      <c r="X353" s="270"/>
      <c r="Y353" s="270"/>
      <c r="Z353" s="270"/>
    </row>
    <row r="354" spans="1:26" ht="15.75" customHeight="1">
      <c r="A354" s="270"/>
      <c r="B354" s="270"/>
      <c r="C354" s="270"/>
      <c r="D354" s="678"/>
      <c r="E354" s="270"/>
      <c r="F354" s="270"/>
      <c r="G354" s="270"/>
      <c r="H354" s="270"/>
      <c r="I354" s="270"/>
      <c r="J354" s="270"/>
      <c r="K354" s="270"/>
      <c r="L354" s="270"/>
      <c r="M354" s="270"/>
      <c r="N354" s="270"/>
      <c r="O354" s="270"/>
      <c r="P354" s="270"/>
      <c r="Q354" s="270"/>
      <c r="R354" s="270"/>
      <c r="S354" s="270"/>
      <c r="T354" s="270"/>
      <c r="U354" s="270"/>
      <c r="V354" s="270"/>
      <c r="W354" s="270"/>
      <c r="X354" s="270"/>
      <c r="Y354" s="270"/>
      <c r="Z354" s="270"/>
    </row>
    <row r="355" spans="1:26" ht="15.75" customHeight="1">
      <c r="A355" s="270"/>
      <c r="B355" s="270"/>
      <c r="C355" s="270"/>
      <c r="D355" s="678"/>
      <c r="E355" s="270"/>
      <c r="F355" s="270"/>
      <c r="G355" s="270"/>
      <c r="H355" s="270"/>
      <c r="I355" s="270"/>
      <c r="J355" s="270"/>
      <c r="K355" s="270"/>
      <c r="L355" s="270"/>
      <c r="M355" s="270"/>
      <c r="N355" s="270"/>
      <c r="O355" s="270"/>
      <c r="P355" s="270"/>
      <c r="Q355" s="270"/>
      <c r="R355" s="270"/>
      <c r="S355" s="270"/>
      <c r="T355" s="270"/>
      <c r="U355" s="270"/>
      <c r="V355" s="270"/>
      <c r="W355" s="270"/>
      <c r="X355" s="270"/>
      <c r="Y355" s="270"/>
      <c r="Z355" s="270"/>
    </row>
    <row r="356" spans="1:26" ht="15.75" customHeight="1">
      <c r="A356" s="270"/>
      <c r="B356" s="270"/>
      <c r="C356" s="270"/>
      <c r="D356" s="678"/>
      <c r="E356" s="270"/>
      <c r="F356" s="270"/>
      <c r="G356" s="270"/>
      <c r="H356" s="270"/>
      <c r="I356" s="270"/>
      <c r="J356" s="270"/>
      <c r="K356" s="270"/>
      <c r="L356" s="270"/>
      <c r="M356" s="270"/>
      <c r="N356" s="270"/>
      <c r="O356" s="270"/>
      <c r="P356" s="270"/>
      <c r="Q356" s="270"/>
      <c r="R356" s="270"/>
      <c r="S356" s="270"/>
      <c r="T356" s="270"/>
      <c r="U356" s="270"/>
      <c r="V356" s="270"/>
      <c r="W356" s="270"/>
      <c r="X356" s="270"/>
      <c r="Y356" s="270"/>
      <c r="Z356" s="270"/>
    </row>
    <row r="357" spans="1:26" ht="15.75" customHeight="1">
      <c r="A357" s="270"/>
      <c r="B357" s="270"/>
      <c r="C357" s="270"/>
      <c r="D357" s="678"/>
      <c r="E357" s="270"/>
      <c r="F357" s="270"/>
      <c r="G357" s="270"/>
      <c r="H357" s="270"/>
      <c r="I357" s="270"/>
      <c r="J357" s="270"/>
      <c r="K357" s="270"/>
      <c r="L357" s="270"/>
      <c r="M357" s="270"/>
      <c r="N357" s="270"/>
      <c r="O357" s="270"/>
      <c r="P357" s="270"/>
      <c r="Q357" s="270"/>
      <c r="R357" s="270"/>
      <c r="S357" s="270"/>
      <c r="T357" s="270"/>
      <c r="U357" s="270"/>
      <c r="V357" s="270"/>
      <c r="W357" s="270"/>
      <c r="X357" s="270"/>
      <c r="Y357" s="270"/>
      <c r="Z357" s="270"/>
    </row>
    <row r="358" spans="1:26" ht="15.75" customHeight="1">
      <c r="A358" s="270"/>
      <c r="B358" s="270"/>
      <c r="C358" s="270"/>
      <c r="D358" s="678"/>
      <c r="E358" s="270"/>
      <c r="F358" s="270"/>
      <c r="G358" s="270"/>
      <c r="H358" s="270"/>
      <c r="I358" s="270"/>
      <c r="J358" s="270"/>
      <c r="K358" s="270"/>
      <c r="L358" s="270"/>
      <c r="M358" s="270"/>
      <c r="N358" s="270"/>
      <c r="O358" s="270"/>
      <c r="P358" s="270"/>
      <c r="Q358" s="270"/>
      <c r="R358" s="270"/>
      <c r="S358" s="270"/>
      <c r="T358" s="270"/>
      <c r="U358" s="270"/>
      <c r="V358" s="270"/>
      <c r="W358" s="270"/>
      <c r="X358" s="270"/>
      <c r="Y358" s="270"/>
      <c r="Z358" s="270"/>
    </row>
    <row r="359" spans="1:26" ht="15.75" customHeight="1">
      <c r="A359" s="270"/>
      <c r="B359" s="270"/>
      <c r="C359" s="270"/>
      <c r="D359" s="678"/>
      <c r="E359" s="270"/>
      <c r="F359" s="270"/>
      <c r="G359" s="270"/>
      <c r="H359" s="270"/>
      <c r="I359" s="270"/>
      <c r="J359" s="270"/>
      <c r="K359" s="270"/>
      <c r="L359" s="270"/>
      <c r="M359" s="270"/>
      <c r="N359" s="270"/>
      <c r="O359" s="270"/>
      <c r="P359" s="270"/>
      <c r="Q359" s="270"/>
      <c r="R359" s="270"/>
      <c r="S359" s="270"/>
      <c r="T359" s="270"/>
      <c r="U359" s="270"/>
      <c r="V359" s="270"/>
      <c r="W359" s="270"/>
      <c r="X359" s="270"/>
      <c r="Y359" s="270"/>
      <c r="Z359" s="270"/>
    </row>
    <row r="360" spans="1:26" ht="15.75" customHeight="1">
      <c r="A360" s="270"/>
      <c r="B360" s="270"/>
      <c r="C360" s="270"/>
      <c r="D360" s="678"/>
      <c r="E360" s="270"/>
      <c r="F360" s="270"/>
      <c r="G360" s="270"/>
      <c r="H360" s="270"/>
      <c r="I360" s="270"/>
      <c r="J360" s="270"/>
      <c r="K360" s="270"/>
      <c r="L360" s="270"/>
      <c r="M360" s="270"/>
      <c r="N360" s="270"/>
      <c r="O360" s="270"/>
      <c r="P360" s="270"/>
      <c r="Q360" s="270"/>
      <c r="R360" s="270"/>
      <c r="S360" s="270"/>
      <c r="T360" s="270"/>
      <c r="U360" s="270"/>
      <c r="V360" s="270"/>
      <c r="W360" s="270"/>
      <c r="X360" s="270"/>
      <c r="Y360" s="270"/>
      <c r="Z360" s="270"/>
    </row>
    <row r="361" spans="1:26" ht="15.75" customHeight="1">
      <c r="A361" s="270"/>
      <c r="B361" s="270"/>
      <c r="C361" s="270"/>
      <c r="D361" s="678"/>
      <c r="E361" s="270"/>
      <c r="F361" s="270"/>
      <c r="G361" s="270"/>
      <c r="H361" s="270"/>
      <c r="I361" s="270"/>
      <c r="J361" s="270"/>
      <c r="K361" s="270"/>
      <c r="L361" s="270"/>
      <c r="M361" s="270"/>
      <c r="N361" s="270"/>
      <c r="O361" s="270"/>
      <c r="P361" s="270"/>
      <c r="Q361" s="270"/>
      <c r="R361" s="270"/>
      <c r="S361" s="270"/>
      <c r="T361" s="270"/>
      <c r="U361" s="270"/>
      <c r="V361" s="270"/>
      <c r="W361" s="270"/>
      <c r="X361" s="270"/>
      <c r="Y361" s="270"/>
      <c r="Z361" s="270"/>
    </row>
    <row r="362" spans="1:26" ht="15.75" customHeight="1">
      <c r="A362" s="270"/>
      <c r="B362" s="270"/>
      <c r="C362" s="270"/>
      <c r="D362" s="678"/>
      <c r="E362" s="270"/>
      <c r="F362" s="270"/>
      <c r="G362" s="270"/>
      <c r="H362" s="270"/>
      <c r="I362" s="270"/>
      <c r="J362" s="270"/>
      <c r="K362" s="270"/>
      <c r="L362" s="270"/>
      <c r="M362" s="270"/>
      <c r="N362" s="270"/>
      <c r="O362" s="270"/>
      <c r="P362" s="270"/>
      <c r="Q362" s="270"/>
      <c r="R362" s="270"/>
      <c r="S362" s="270"/>
      <c r="T362" s="270"/>
      <c r="U362" s="270"/>
      <c r="V362" s="270"/>
      <c r="W362" s="270"/>
      <c r="X362" s="270"/>
      <c r="Y362" s="270"/>
      <c r="Z362" s="270"/>
    </row>
    <row r="363" spans="1:26" ht="15.75" customHeight="1">
      <c r="A363" s="270"/>
      <c r="B363" s="270"/>
      <c r="C363" s="270"/>
      <c r="D363" s="678"/>
      <c r="E363" s="270"/>
      <c r="F363" s="270"/>
      <c r="G363" s="270"/>
      <c r="H363" s="270"/>
      <c r="I363" s="270"/>
      <c r="J363" s="270"/>
      <c r="K363" s="270"/>
      <c r="L363" s="270"/>
      <c r="M363" s="270"/>
      <c r="N363" s="270"/>
      <c r="O363" s="270"/>
      <c r="P363" s="270"/>
      <c r="Q363" s="270"/>
      <c r="R363" s="270"/>
      <c r="S363" s="270"/>
      <c r="T363" s="270"/>
      <c r="U363" s="270"/>
      <c r="V363" s="270"/>
      <c r="W363" s="270"/>
      <c r="X363" s="270"/>
      <c r="Y363" s="270"/>
      <c r="Z363" s="270"/>
    </row>
    <row r="364" spans="1:26" ht="15.75" customHeight="1">
      <c r="A364" s="270"/>
      <c r="B364" s="270"/>
      <c r="C364" s="270"/>
      <c r="D364" s="678"/>
      <c r="E364" s="270"/>
      <c r="F364" s="270"/>
      <c r="G364" s="270"/>
      <c r="H364" s="270"/>
      <c r="I364" s="270"/>
      <c r="J364" s="270"/>
      <c r="K364" s="270"/>
      <c r="L364" s="270"/>
      <c r="M364" s="270"/>
      <c r="N364" s="270"/>
      <c r="O364" s="270"/>
      <c r="P364" s="270"/>
      <c r="Q364" s="270"/>
      <c r="R364" s="270"/>
      <c r="S364" s="270"/>
      <c r="T364" s="270"/>
      <c r="U364" s="270"/>
      <c r="V364" s="270"/>
      <c r="W364" s="270"/>
      <c r="X364" s="270"/>
      <c r="Y364" s="270"/>
      <c r="Z364" s="270"/>
    </row>
    <row r="365" spans="1:26" ht="15.75" customHeight="1">
      <c r="A365" s="270"/>
      <c r="B365" s="270"/>
      <c r="C365" s="270"/>
      <c r="D365" s="678"/>
      <c r="E365" s="270"/>
      <c r="F365" s="270"/>
      <c r="G365" s="270"/>
      <c r="H365" s="270"/>
      <c r="I365" s="270"/>
      <c r="J365" s="270"/>
      <c r="K365" s="270"/>
      <c r="L365" s="270"/>
      <c r="M365" s="270"/>
      <c r="N365" s="270"/>
      <c r="O365" s="270"/>
      <c r="P365" s="270"/>
      <c r="Q365" s="270"/>
      <c r="R365" s="270"/>
      <c r="S365" s="270"/>
      <c r="T365" s="270"/>
      <c r="U365" s="270"/>
      <c r="V365" s="270"/>
      <c r="W365" s="270"/>
      <c r="X365" s="270"/>
      <c r="Y365" s="270"/>
      <c r="Z365" s="270"/>
    </row>
    <row r="366" spans="1:26" ht="15.75" customHeight="1">
      <c r="A366" s="270"/>
      <c r="B366" s="270"/>
      <c r="C366" s="270"/>
      <c r="D366" s="678"/>
      <c r="E366" s="270"/>
      <c r="F366" s="270"/>
      <c r="G366" s="270"/>
      <c r="H366" s="270"/>
      <c r="I366" s="270"/>
      <c r="J366" s="270"/>
      <c r="K366" s="270"/>
      <c r="L366" s="270"/>
      <c r="M366" s="270"/>
      <c r="N366" s="270"/>
      <c r="O366" s="270"/>
      <c r="P366" s="270"/>
      <c r="Q366" s="270"/>
      <c r="R366" s="270"/>
      <c r="S366" s="270"/>
      <c r="T366" s="270"/>
      <c r="U366" s="270"/>
      <c r="V366" s="270"/>
      <c r="W366" s="270"/>
      <c r="X366" s="270"/>
      <c r="Y366" s="270"/>
      <c r="Z366" s="270"/>
    </row>
    <row r="367" spans="1:26" ht="15.75" customHeight="1">
      <c r="A367" s="270"/>
      <c r="B367" s="270"/>
      <c r="C367" s="270"/>
      <c r="D367" s="678"/>
      <c r="E367" s="270"/>
      <c r="F367" s="270"/>
      <c r="G367" s="270"/>
      <c r="H367" s="270"/>
      <c r="I367" s="270"/>
      <c r="J367" s="270"/>
      <c r="K367" s="270"/>
      <c r="L367" s="270"/>
      <c r="M367" s="270"/>
      <c r="N367" s="270"/>
      <c r="O367" s="270"/>
      <c r="P367" s="270"/>
      <c r="Q367" s="270"/>
      <c r="R367" s="270"/>
      <c r="S367" s="270"/>
      <c r="T367" s="270"/>
      <c r="U367" s="270"/>
      <c r="V367" s="270"/>
      <c r="W367" s="270"/>
      <c r="X367" s="270"/>
      <c r="Y367" s="270"/>
      <c r="Z367" s="270"/>
    </row>
    <row r="368" spans="1:26" ht="15.75" customHeight="1">
      <c r="A368" s="270"/>
      <c r="B368" s="270"/>
      <c r="C368" s="270"/>
      <c r="D368" s="678"/>
      <c r="E368" s="270"/>
      <c r="F368" s="270"/>
      <c r="G368" s="270"/>
      <c r="H368" s="270"/>
      <c r="I368" s="270"/>
      <c r="J368" s="270"/>
      <c r="K368" s="270"/>
      <c r="L368" s="270"/>
      <c r="M368" s="270"/>
      <c r="N368" s="270"/>
      <c r="O368" s="270"/>
      <c r="P368" s="270"/>
      <c r="Q368" s="270"/>
      <c r="R368" s="270"/>
      <c r="S368" s="270"/>
      <c r="T368" s="270"/>
      <c r="U368" s="270"/>
      <c r="V368" s="270"/>
      <c r="W368" s="270"/>
      <c r="X368" s="270"/>
      <c r="Y368" s="270"/>
      <c r="Z368" s="270"/>
    </row>
    <row r="369" spans="1:26" ht="15.75" customHeight="1">
      <c r="A369" s="270"/>
      <c r="B369" s="270"/>
      <c r="C369" s="270"/>
      <c r="D369" s="678"/>
      <c r="E369" s="270"/>
      <c r="F369" s="270"/>
      <c r="G369" s="270"/>
      <c r="H369" s="270"/>
      <c r="I369" s="270"/>
      <c r="J369" s="270"/>
      <c r="K369" s="270"/>
      <c r="L369" s="270"/>
      <c r="M369" s="270"/>
      <c r="N369" s="270"/>
      <c r="O369" s="270"/>
      <c r="P369" s="270"/>
      <c r="Q369" s="270"/>
      <c r="R369" s="270"/>
      <c r="S369" s="270"/>
      <c r="T369" s="270"/>
      <c r="U369" s="270"/>
      <c r="V369" s="270"/>
      <c r="W369" s="270"/>
      <c r="X369" s="270"/>
      <c r="Y369" s="270"/>
      <c r="Z369" s="270"/>
    </row>
    <row r="370" spans="1:26" ht="15.75" customHeight="1">
      <c r="A370" s="270"/>
      <c r="B370" s="270"/>
      <c r="C370" s="270"/>
      <c r="D370" s="678"/>
      <c r="E370" s="270"/>
      <c r="F370" s="270"/>
      <c r="G370" s="270"/>
      <c r="H370" s="270"/>
      <c r="I370" s="270"/>
      <c r="J370" s="270"/>
      <c r="K370" s="270"/>
      <c r="L370" s="270"/>
      <c r="M370" s="270"/>
      <c r="N370" s="270"/>
      <c r="O370" s="270"/>
      <c r="P370" s="270"/>
      <c r="Q370" s="270"/>
      <c r="R370" s="270"/>
      <c r="S370" s="270"/>
      <c r="T370" s="270"/>
      <c r="U370" s="270"/>
      <c r="V370" s="270"/>
      <c r="W370" s="270"/>
      <c r="X370" s="270"/>
      <c r="Y370" s="270"/>
      <c r="Z370" s="270"/>
    </row>
    <row r="371" spans="1:26" ht="15.75" customHeight="1">
      <c r="A371" s="270"/>
      <c r="B371" s="270"/>
      <c r="C371" s="270"/>
      <c r="D371" s="678"/>
      <c r="E371" s="270"/>
      <c r="F371" s="270"/>
      <c r="G371" s="270"/>
      <c r="H371" s="270"/>
      <c r="I371" s="270"/>
      <c r="J371" s="270"/>
      <c r="K371" s="270"/>
      <c r="L371" s="270"/>
      <c r="M371" s="270"/>
      <c r="N371" s="270"/>
      <c r="O371" s="270"/>
      <c r="P371" s="270"/>
      <c r="Q371" s="270"/>
      <c r="R371" s="270"/>
      <c r="S371" s="270"/>
      <c r="T371" s="270"/>
      <c r="U371" s="270"/>
      <c r="V371" s="270"/>
      <c r="W371" s="270"/>
      <c r="X371" s="270"/>
      <c r="Y371" s="270"/>
      <c r="Z371" s="270"/>
    </row>
    <row r="372" spans="1:26" ht="15.75" customHeight="1">
      <c r="A372" s="270"/>
      <c r="B372" s="270"/>
      <c r="C372" s="270"/>
      <c r="D372" s="678"/>
      <c r="E372" s="270"/>
      <c r="F372" s="270"/>
      <c r="G372" s="270"/>
      <c r="H372" s="270"/>
      <c r="I372" s="270"/>
      <c r="J372" s="270"/>
      <c r="K372" s="270"/>
      <c r="L372" s="270"/>
      <c r="M372" s="270"/>
      <c r="N372" s="270"/>
      <c r="O372" s="270"/>
      <c r="P372" s="270"/>
      <c r="Q372" s="270"/>
      <c r="R372" s="270"/>
      <c r="S372" s="270"/>
      <c r="T372" s="270"/>
      <c r="U372" s="270"/>
      <c r="V372" s="270"/>
      <c r="W372" s="270"/>
      <c r="X372" s="270"/>
      <c r="Y372" s="270"/>
      <c r="Z372" s="270"/>
    </row>
    <row r="373" spans="1:26" ht="15.75" customHeight="1">
      <c r="A373" s="270"/>
      <c r="B373" s="270"/>
      <c r="C373" s="270"/>
      <c r="D373" s="678"/>
      <c r="E373" s="270"/>
      <c r="F373" s="270"/>
      <c r="G373" s="270"/>
      <c r="H373" s="270"/>
      <c r="I373" s="270"/>
      <c r="J373" s="270"/>
      <c r="K373" s="270"/>
      <c r="L373" s="270"/>
      <c r="M373" s="270"/>
      <c r="N373" s="270"/>
      <c r="O373" s="270"/>
      <c r="P373" s="270"/>
      <c r="Q373" s="270"/>
      <c r="R373" s="270"/>
      <c r="S373" s="270"/>
      <c r="T373" s="270"/>
      <c r="U373" s="270"/>
      <c r="V373" s="270"/>
      <c r="W373" s="270"/>
      <c r="X373" s="270"/>
      <c r="Y373" s="270"/>
      <c r="Z373" s="270"/>
    </row>
    <row r="374" spans="1:26" ht="15.75" customHeight="1">
      <c r="A374" s="270"/>
      <c r="B374" s="270"/>
      <c r="C374" s="270"/>
      <c r="D374" s="678"/>
      <c r="E374" s="270"/>
      <c r="F374" s="270"/>
      <c r="G374" s="270"/>
      <c r="H374" s="270"/>
      <c r="I374" s="270"/>
      <c r="J374" s="270"/>
      <c r="K374" s="270"/>
      <c r="L374" s="270"/>
      <c r="M374" s="270"/>
      <c r="N374" s="270"/>
      <c r="O374" s="270"/>
      <c r="P374" s="270"/>
      <c r="Q374" s="270"/>
      <c r="R374" s="270"/>
      <c r="S374" s="270"/>
      <c r="T374" s="270"/>
      <c r="U374" s="270"/>
      <c r="V374" s="270"/>
      <c r="W374" s="270"/>
      <c r="X374" s="270"/>
      <c r="Y374" s="270"/>
      <c r="Z374" s="270"/>
    </row>
    <row r="375" spans="1:26" ht="15.75" customHeight="1">
      <c r="A375" s="270"/>
      <c r="B375" s="270"/>
      <c r="C375" s="270"/>
      <c r="D375" s="678"/>
      <c r="E375" s="270"/>
      <c r="F375" s="270"/>
      <c r="G375" s="270"/>
      <c r="H375" s="270"/>
      <c r="I375" s="270"/>
      <c r="J375" s="270"/>
      <c r="K375" s="270"/>
      <c r="L375" s="270"/>
      <c r="M375" s="270"/>
      <c r="N375" s="270"/>
      <c r="O375" s="270"/>
      <c r="P375" s="270"/>
      <c r="Q375" s="270"/>
      <c r="R375" s="270"/>
      <c r="S375" s="270"/>
      <c r="T375" s="270"/>
      <c r="U375" s="270"/>
      <c r="V375" s="270"/>
      <c r="W375" s="270"/>
      <c r="X375" s="270"/>
      <c r="Y375" s="270"/>
      <c r="Z375" s="270"/>
    </row>
    <row r="376" spans="1:26" ht="15.75" customHeight="1">
      <c r="A376" s="270"/>
      <c r="B376" s="270"/>
      <c r="C376" s="270"/>
      <c r="D376" s="678"/>
      <c r="E376" s="270"/>
      <c r="F376" s="270"/>
      <c r="G376" s="270"/>
      <c r="H376" s="270"/>
      <c r="I376" s="270"/>
      <c r="J376" s="270"/>
      <c r="K376" s="270"/>
      <c r="L376" s="270"/>
      <c r="M376" s="270"/>
      <c r="N376" s="270"/>
      <c r="O376" s="270"/>
      <c r="P376" s="270"/>
      <c r="Q376" s="270"/>
      <c r="R376" s="270"/>
      <c r="S376" s="270"/>
      <c r="T376" s="270"/>
      <c r="U376" s="270"/>
      <c r="V376" s="270"/>
      <c r="W376" s="270"/>
      <c r="X376" s="270"/>
      <c r="Y376" s="270"/>
      <c r="Z376" s="270"/>
    </row>
    <row r="377" spans="1:26" ht="15.75" customHeight="1">
      <c r="A377" s="270"/>
      <c r="B377" s="270"/>
      <c r="C377" s="270"/>
      <c r="D377" s="678"/>
      <c r="E377" s="270"/>
      <c r="F377" s="270"/>
      <c r="G377" s="270"/>
      <c r="H377" s="270"/>
      <c r="I377" s="270"/>
      <c r="J377" s="270"/>
      <c r="K377" s="270"/>
      <c r="L377" s="270"/>
      <c r="M377" s="270"/>
      <c r="N377" s="270"/>
      <c r="O377" s="270"/>
      <c r="P377" s="270"/>
      <c r="Q377" s="270"/>
      <c r="R377" s="270"/>
      <c r="S377" s="270"/>
      <c r="T377" s="270"/>
      <c r="U377" s="270"/>
      <c r="V377" s="270"/>
      <c r="W377" s="270"/>
      <c r="X377" s="270"/>
      <c r="Y377" s="270"/>
      <c r="Z377" s="270"/>
    </row>
    <row r="378" spans="1:26" ht="15.75" customHeight="1">
      <c r="A378" s="270"/>
      <c r="B378" s="270"/>
      <c r="C378" s="270"/>
      <c r="D378" s="678"/>
      <c r="E378" s="270"/>
      <c r="F378" s="270"/>
      <c r="G378" s="270"/>
      <c r="H378" s="270"/>
      <c r="I378" s="270"/>
      <c r="J378" s="270"/>
      <c r="K378" s="270"/>
      <c r="L378" s="270"/>
      <c r="M378" s="270"/>
      <c r="N378" s="270"/>
      <c r="O378" s="270"/>
      <c r="P378" s="270"/>
      <c r="Q378" s="270"/>
      <c r="R378" s="270"/>
      <c r="S378" s="270"/>
      <c r="T378" s="270"/>
      <c r="U378" s="270"/>
      <c r="V378" s="270"/>
      <c r="W378" s="270"/>
      <c r="X378" s="270"/>
      <c r="Y378" s="270"/>
      <c r="Z378" s="270"/>
    </row>
    <row r="379" spans="1:26" ht="15.75" customHeight="1">
      <c r="A379" s="270"/>
      <c r="B379" s="270"/>
      <c r="C379" s="270"/>
      <c r="D379" s="678"/>
      <c r="E379" s="270"/>
      <c r="F379" s="270"/>
      <c r="G379" s="270"/>
      <c r="H379" s="270"/>
      <c r="I379" s="270"/>
      <c r="J379" s="270"/>
      <c r="K379" s="270"/>
      <c r="L379" s="270"/>
      <c r="M379" s="270"/>
      <c r="N379" s="270"/>
      <c r="O379" s="270"/>
      <c r="P379" s="270"/>
      <c r="Q379" s="270"/>
      <c r="R379" s="270"/>
      <c r="S379" s="270"/>
      <c r="T379" s="270"/>
      <c r="U379" s="270"/>
      <c r="V379" s="270"/>
      <c r="W379" s="270"/>
      <c r="X379" s="270"/>
      <c r="Y379" s="270"/>
      <c r="Z379" s="270"/>
    </row>
    <row r="380" spans="1:26" ht="15.75" customHeight="1">
      <c r="A380" s="270"/>
      <c r="B380" s="270"/>
      <c r="C380" s="270"/>
      <c r="D380" s="678"/>
      <c r="E380" s="270"/>
      <c r="F380" s="270"/>
      <c r="G380" s="270"/>
      <c r="H380" s="270"/>
      <c r="I380" s="270"/>
      <c r="J380" s="270"/>
      <c r="K380" s="270"/>
      <c r="L380" s="270"/>
      <c r="M380" s="270"/>
      <c r="N380" s="270"/>
      <c r="O380" s="270"/>
      <c r="P380" s="270"/>
      <c r="Q380" s="270"/>
      <c r="R380" s="270"/>
      <c r="S380" s="270"/>
      <c r="T380" s="270"/>
      <c r="U380" s="270"/>
      <c r="V380" s="270"/>
      <c r="W380" s="270"/>
      <c r="X380" s="270"/>
      <c r="Y380" s="270"/>
      <c r="Z380" s="270"/>
    </row>
    <row r="381" spans="1:26" ht="15.75" customHeight="1">
      <c r="A381" s="270"/>
      <c r="B381" s="270"/>
      <c r="C381" s="270"/>
      <c r="D381" s="678"/>
      <c r="E381" s="270"/>
      <c r="F381" s="270"/>
      <c r="G381" s="270"/>
      <c r="H381" s="270"/>
      <c r="I381" s="270"/>
      <c r="J381" s="270"/>
      <c r="K381" s="270"/>
      <c r="L381" s="270"/>
      <c r="M381" s="270"/>
      <c r="N381" s="270"/>
      <c r="O381" s="270"/>
      <c r="P381" s="270"/>
      <c r="Q381" s="270"/>
      <c r="R381" s="270"/>
      <c r="S381" s="270"/>
      <c r="T381" s="270"/>
      <c r="U381" s="270"/>
      <c r="V381" s="270"/>
      <c r="W381" s="270"/>
      <c r="X381" s="270"/>
      <c r="Y381" s="270"/>
      <c r="Z381" s="270"/>
    </row>
    <row r="382" spans="1:26" ht="15.75" customHeight="1">
      <c r="A382" s="270"/>
      <c r="B382" s="270"/>
      <c r="C382" s="270"/>
      <c r="D382" s="678"/>
      <c r="E382" s="270"/>
      <c r="F382" s="270"/>
      <c r="G382" s="270"/>
      <c r="H382" s="270"/>
      <c r="I382" s="270"/>
      <c r="J382" s="270"/>
      <c r="K382" s="270"/>
      <c r="L382" s="270"/>
      <c r="M382" s="270"/>
      <c r="N382" s="270"/>
      <c r="O382" s="270"/>
      <c r="P382" s="270"/>
      <c r="Q382" s="270"/>
      <c r="R382" s="270"/>
      <c r="S382" s="270"/>
      <c r="T382" s="270"/>
      <c r="U382" s="270"/>
      <c r="V382" s="270"/>
      <c r="W382" s="270"/>
      <c r="X382" s="270"/>
      <c r="Y382" s="270"/>
      <c r="Z382" s="270"/>
    </row>
    <row r="383" spans="1:26" ht="15.75" customHeight="1">
      <c r="A383" s="270"/>
      <c r="B383" s="270"/>
      <c r="C383" s="270"/>
      <c r="D383" s="678"/>
      <c r="E383" s="270"/>
      <c r="F383" s="270"/>
      <c r="G383" s="270"/>
      <c r="H383" s="270"/>
      <c r="I383" s="270"/>
      <c r="J383" s="270"/>
      <c r="K383" s="270"/>
      <c r="L383" s="270"/>
      <c r="M383" s="270"/>
      <c r="N383" s="270"/>
      <c r="O383" s="270"/>
      <c r="P383" s="270"/>
      <c r="Q383" s="270"/>
      <c r="R383" s="270"/>
      <c r="S383" s="270"/>
      <c r="T383" s="270"/>
      <c r="U383" s="270"/>
      <c r="V383" s="270"/>
      <c r="W383" s="270"/>
      <c r="X383" s="270"/>
      <c r="Y383" s="270"/>
      <c r="Z383" s="270"/>
    </row>
    <row r="384" spans="1:26" ht="15.75" customHeight="1">
      <c r="A384" s="270"/>
      <c r="B384" s="270"/>
      <c r="C384" s="270"/>
      <c r="D384" s="678"/>
      <c r="E384" s="270"/>
      <c r="F384" s="270"/>
      <c r="G384" s="270"/>
      <c r="H384" s="270"/>
      <c r="I384" s="270"/>
      <c r="J384" s="270"/>
      <c r="K384" s="270"/>
      <c r="L384" s="270"/>
      <c r="M384" s="270"/>
      <c r="N384" s="270"/>
      <c r="O384" s="270"/>
      <c r="P384" s="270"/>
      <c r="Q384" s="270"/>
      <c r="R384" s="270"/>
      <c r="S384" s="270"/>
      <c r="T384" s="270"/>
      <c r="U384" s="270"/>
      <c r="V384" s="270"/>
      <c r="W384" s="270"/>
      <c r="X384" s="270"/>
      <c r="Y384" s="270"/>
      <c r="Z384" s="270"/>
    </row>
    <row r="385" spans="1:26" ht="15.75" customHeight="1">
      <c r="A385" s="270"/>
      <c r="B385" s="270"/>
      <c r="C385" s="270"/>
      <c r="D385" s="678"/>
      <c r="E385" s="270"/>
      <c r="F385" s="270"/>
      <c r="G385" s="270"/>
      <c r="H385" s="270"/>
      <c r="I385" s="270"/>
      <c r="J385" s="270"/>
      <c r="K385" s="270"/>
      <c r="L385" s="270"/>
      <c r="M385" s="270"/>
      <c r="N385" s="270"/>
      <c r="O385" s="270"/>
      <c r="P385" s="270"/>
      <c r="Q385" s="270"/>
      <c r="R385" s="270"/>
      <c r="S385" s="270"/>
      <c r="T385" s="270"/>
      <c r="U385" s="270"/>
      <c r="V385" s="270"/>
      <c r="W385" s="270"/>
      <c r="X385" s="270"/>
      <c r="Y385" s="270"/>
      <c r="Z385" s="270"/>
    </row>
    <row r="386" spans="1:26" ht="15.75" customHeight="1">
      <c r="A386" s="270"/>
      <c r="B386" s="270"/>
      <c r="C386" s="270"/>
      <c r="D386" s="678"/>
      <c r="E386" s="270"/>
      <c r="F386" s="270"/>
      <c r="G386" s="270"/>
      <c r="H386" s="270"/>
      <c r="I386" s="270"/>
      <c r="J386" s="270"/>
      <c r="K386" s="270"/>
      <c r="L386" s="270"/>
      <c r="M386" s="270"/>
      <c r="N386" s="270"/>
      <c r="O386" s="270"/>
      <c r="P386" s="270"/>
      <c r="Q386" s="270"/>
      <c r="R386" s="270"/>
      <c r="S386" s="270"/>
      <c r="T386" s="270"/>
      <c r="U386" s="270"/>
      <c r="V386" s="270"/>
      <c r="W386" s="270"/>
      <c r="X386" s="270"/>
      <c r="Y386" s="270"/>
      <c r="Z386" s="270"/>
    </row>
    <row r="387" spans="1:26" ht="15.75" customHeight="1">
      <c r="A387" s="270"/>
      <c r="B387" s="270"/>
      <c r="C387" s="270"/>
      <c r="D387" s="678"/>
      <c r="E387" s="270"/>
      <c r="F387" s="270"/>
      <c r="G387" s="270"/>
      <c r="H387" s="270"/>
      <c r="I387" s="270"/>
      <c r="J387" s="270"/>
      <c r="K387" s="270"/>
      <c r="L387" s="270"/>
      <c r="M387" s="270"/>
      <c r="N387" s="270"/>
      <c r="O387" s="270"/>
      <c r="P387" s="270"/>
      <c r="Q387" s="270"/>
      <c r="R387" s="270"/>
      <c r="S387" s="270"/>
      <c r="T387" s="270"/>
      <c r="U387" s="270"/>
      <c r="V387" s="270"/>
      <c r="W387" s="270"/>
      <c r="X387" s="270"/>
      <c r="Y387" s="270"/>
      <c r="Z387" s="270"/>
    </row>
    <row r="388" spans="1:26" ht="15.75" customHeight="1">
      <c r="A388" s="270"/>
      <c r="B388" s="270"/>
      <c r="C388" s="270"/>
      <c r="D388" s="678"/>
      <c r="E388" s="270"/>
      <c r="F388" s="270"/>
      <c r="G388" s="270"/>
      <c r="H388" s="270"/>
      <c r="I388" s="270"/>
      <c r="J388" s="270"/>
      <c r="K388" s="270"/>
      <c r="L388" s="270"/>
      <c r="M388" s="270"/>
      <c r="N388" s="270"/>
      <c r="O388" s="270"/>
      <c r="P388" s="270"/>
      <c r="Q388" s="270"/>
      <c r="R388" s="270"/>
      <c r="S388" s="270"/>
      <c r="T388" s="270"/>
      <c r="U388" s="270"/>
      <c r="V388" s="270"/>
      <c r="W388" s="270"/>
      <c r="X388" s="270"/>
      <c r="Y388" s="270"/>
      <c r="Z388" s="270"/>
    </row>
    <row r="389" spans="1:26" ht="15.75" customHeight="1">
      <c r="A389" s="270"/>
      <c r="B389" s="270"/>
      <c r="C389" s="270"/>
      <c r="D389" s="678"/>
      <c r="E389" s="270"/>
      <c r="F389" s="270"/>
      <c r="G389" s="270"/>
      <c r="H389" s="270"/>
      <c r="I389" s="270"/>
      <c r="J389" s="270"/>
      <c r="K389" s="270"/>
      <c r="L389" s="270"/>
      <c r="M389" s="270"/>
      <c r="N389" s="270"/>
      <c r="O389" s="270"/>
      <c r="P389" s="270"/>
      <c r="Q389" s="270"/>
      <c r="R389" s="270"/>
      <c r="S389" s="270"/>
      <c r="T389" s="270"/>
      <c r="U389" s="270"/>
      <c r="V389" s="270"/>
      <c r="W389" s="270"/>
      <c r="X389" s="270"/>
      <c r="Y389" s="270"/>
      <c r="Z389" s="270"/>
    </row>
    <row r="390" spans="1:26" ht="15.75" customHeight="1">
      <c r="A390" s="270"/>
      <c r="B390" s="270"/>
      <c r="C390" s="270"/>
      <c r="D390" s="678"/>
      <c r="E390" s="270"/>
      <c r="F390" s="270"/>
      <c r="G390" s="270"/>
      <c r="H390" s="270"/>
      <c r="I390" s="270"/>
      <c r="J390" s="270"/>
      <c r="K390" s="270"/>
      <c r="L390" s="270"/>
      <c r="M390" s="270"/>
      <c r="N390" s="270"/>
      <c r="O390" s="270"/>
      <c r="P390" s="270"/>
      <c r="Q390" s="270"/>
      <c r="R390" s="270"/>
      <c r="S390" s="270"/>
      <c r="T390" s="270"/>
      <c r="U390" s="270"/>
      <c r="V390" s="270"/>
      <c r="W390" s="270"/>
      <c r="X390" s="270"/>
      <c r="Y390" s="270"/>
      <c r="Z390" s="270"/>
    </row>
    <row r="391" spans="1:26" ht="15.75" customHeight="1">
      <c r="A391" s="270"/>
      <c r="B391" s="270"/>
      <c r="C391" s="270"/>
      <c r="D391" s="678"/>
      <c r="E391" s="270"/>
      <c r="F391" s="270"/>
      <c r="G391" s="270"/>
      <c r="H391" s="270"/>
      <c r="I391" s="270"/>
      <c r="J391" s="270"/>
      <c r="K391" s="270"/>
      <c r="L391" s="270"/>
      <c r="M391" s="270"/>
      <c r="N391" s="270"/>
      <c r="O391" s="270"/>
      <c r="P391" s="270"/>
      <c r="Q391" s="270"/>
      <c r="R391" s="270"/>
      <c r="S391" s="270"/>
      <c r="T391" s="270"/>
      <c r="U391" s="270"/>
      <c r="V391" s="270"/>
      <c r="W391" s="270"/>
      <c r="X391" s="270"/>
      <c r="Y391" s="270"/>
      <c r="Z391" s="270"/>
    </row>
    <row r="392" spans="1:26" ht="15.75" customHeight="1">
      <c r="A392" s="270"/>
      <c r="B392" s="270"/>
      <c r="C392" s="270"/>
      <c r="D392" s="678"/>
      <c r="E392" s="270"/>
      <c r="F392" s="270"/>
      <c r="G392" s="270"/>
      <c r="H392" s="270"/>
      <c r="I392" s="270"/>
      <c r="J392" s="270"/>
      <c r="K392" s="270"/>
      <c r="L392" s="270"/>
      <c r="M392" s="270"/>
      <c r="N392" s="270"/>
      <c r="O392" s="270"/>
      <c r="P392" s="270"/>
      <c r="Q392" s="270"/>
      <c r="R392" s="270"/>
      <c r="S392" s="270"/>
      <c r="T392" s="270"/>
      <c r="U392" s="270"/>
      <c r="V392" s="270"/>
      <c r="W392" s="270"/>
      <c r="X392" s="270"/>
      <c r="Y392" s="270"/>
      <c r="Z392" s="270"/>
    </row>
    <row r="393" spans="1:26" ht="15.75" customHeight="1">
      <c r="A393" s="270"/>
      <c r="B393" s="270"/>
      <c r="C393" s="270"/>
      <c r="D393" s="678"/>
      <c r="E393" s="270"/>
      <c r="F393" s="270"/>
      <c r="G393" s="270"/>
      <c r="H393" s="270"/>
      <c r="I393" s="270"/>
      <c r="J393" s="270"/>
      <c r="K393" s="270"/>
      <c r="L393" s="270"/>
      <c r="M393" s="270"/>
      <c r="N393" s="270"/>
      <c r="O393" s="270"/>
      <c r="P393" s="270"/>
      <c r="Q393" s="270"/>
      <c r="R393" s="270"/>
      <c r="S393" s="270"/>
      <c r="T393" s="270"/>
      <c r="U393" s="270"/>
      <c r="V393" s="270"/>
      <c r="W393" s="270"/>
      <c r="X393" s="270"/>
      <c r="Y393" s="270"/>
      <c r="Z393" s="270"/>
    </row>
    <row r="394" spans="1:26" ht="15.75" customHeight="1">
      <c r="A394" s="270"/>
      <c r="B394" s="270"/>
      <c r="C394" s="270"/>
      <c r="D394" s="678"/>
      <c r="E394" s="270"/>
      <c r="F394" s="270"/>
      <c r="G394" s="270"/>
      <c r="H394" s="270"/>
      <c r="I394" s="270"/>
      <c r="J394" s="270"/>
      <c r="K394" s="270"/>
      <c r="L394" s="270"/>
      <c r="M394" s="270"/>
      <c r="N394" s="270"/>
      <c r="O394" s="270"/>
      <c r="P394" s="270"/>
      <c r="Q394" s="270"/>
      <c r="R394" s="270"/>
      <c r="S394" s="270"/>
      <c r="T394" s="270"/>
      <c r="U394" s="270"/>
      <c r="V394" s="270"/>
      <c r="W394" s="270"/>
      <c r="X394" s="270"/>
      <c r="Y394" s="270"/>
      <c r="Z394" s="270"/>
    </row>
    <row r="395" spans="1:26" ht="15.75" customHeight="1">
      <c r="A395" s="270"/>
      <c r="B395" s="270"/>
      <c r="C395" s="270"/>
      <c r="D395" s="678"/>
      <c r="E395" s="270"/>
      <c r="F395" s="270"/>
      <c r="G395" s="270"/>
      <c r="H395" s="270"/>
      <c r="I395" s="270"/>
      <c r="J395" s="270"/>
      <c r="K395" s="270"/>
      <c r="L395" s="270"/>
      <c r="M395" s="270"/>
      <c r="N395" s="270"/>
      <c r="O395" s="270"/>
      <c r="P395" s="270"/>
      <c r="Q395" s="270"/>
      <c r="R395" s="270"/>
      <c r="S395" s="270"/>
      <c r="T395" s="270"/>
      <c r="U395" s="270"/>
      <c r="V395" s="270"/>
      <c r="W395" s="270"/>
      <c r="X395" s="270"/>
      <c r="Y395" s="270"/>
      <c r="Z395" s="270"/>
    </row>
    <row r="396" spans="1:26" ht="15.75" customHeight="1">
      <c r="A396" s="270"/>
      <c r="B396" s="270"/>
      <c r="C396" s="270"/>
      <c r="D396" s="678"/>
      <c r="E396" s="270"/>
      <c r="F396" s="270"/>
      <c r="G396" s="270"/>
      <c r="H396" s="270"/>
      <c r="I396" s="270"/>
      <c r="J396" s="270"/>
      <c r="K396" s="270"/>
      <c r="L396" s="270"/>
      <c r="M396" s="270"/>
      <c r="N396" s="270"/>
      <c r="O396" s="270"/>
      <c r="P396" s="270"/>
      <c r="Q396" s="270"/>
      <c r="R396" s="270"/>
      <c r="S396" s="270"/>
      <c r="T396" s="270"/>
      <c r="U396" s="270"/>
      <c r="V396" s="270"/>
      <c r="W396" s="270"/>
      <c r="X396" s="270"/>
      <c r="Y396" s="270"/>
      <c r="Z396" s="270"/>
    </row>
    <row r="397" spans="1:26" ht="15.75" customHeight="1">
      <c r="A397" s="270"/>
      <c r="B397" s="270"/>
      <c r="C397" s="270"/>
      <c r="D397" s="678"/>
      <c r="E397" s="270"/>
      <c r="F397" s="270"/>
      <c r="G397" s="270"/>
      <c r="H397" s="270"/>
      <c r="I397" s="270"/>
      <c r="J397" s="270"/>
      <c r="K397" s="270"/>
      <c r="L397" s="270"/>
      <c r="M397" s="270"/>
      <c r="N397" s="270"/>
      <c r="O397" s="270"/>
      <c r="P397" s="270"/>
      <c r="Q397" s="270"/>
      <c r="R397" s="270"/>
      <c r="S397" s="270"/>
      <c r="T397" s="270"/>
      <c r="U397" s="270"/>
      <c r="V397" s="270"/>
      <c r="W397" s="270"/>
      <c r="X397" s="270"/>
      <c r="Y397" s="270"/>
      <c r="Z397" s="270"/>
    </row>
    <row r="398" spans="1:26" ht="15.75" customHeight="1">
      <c r="A398" s="270"/>
      <c r="B398" s="270"/>
      <c r="C398" s="270"/>
      <c r="D398" s="678"/>
      <c r="E398" s="270"/>
      <c r="F398" s="270"/>
      <c r="G398" s="270"/>
      <c r="H398" s="270"/>
      <c r="I398" s="270"/>
      <c r="J398" s="270"/>
      <c r="K398" s="270"/>
      <c r="L398" s="270"/>
      <c r="M398" s="270"/>
      <c r="N398" s="270"/>
      <c r="O398" s="270"/>
      <c r="P398" s="270"/>
      <c r="Q398" s="270"/>
      <c r="R398" s="270"/>
      <c r="S398" s="270"/>
      <c r="T398" s="270"/>
      <c r="U398" s="270"/>
      <c r="V398" s="270"/>
      <c r="W398" s="270"/>
      <c r="X398" s="270"/>
      <c r="Y398" s="270"/>
      <c r="Z398" s="270"/>
    </row>
    <row r="399" spans="1:26" ht="15.75" customHeight="1">
      <c r="A399" s="270"/>
      <c r="B399" s="270"/>
      <c r="C399" s="270"/>
      <c r="D399" s="678"/>
      <c r="E399" s="270"/>
      <c r="F399" s="270"/>
      <c r="G399" s="270"/>
      <c r="H399" s="270"/>
      <c r="I399" s="270"/>
      <c r="J399" s="270"/>
      <c r="K399" s="270"/>
      <c r="L399" s="270"/>
      <c r="M399" s="270"/>
      <c r="N399" s="270"/>
      <c r="O399" s="270"/>
      <c r="P399" s="270"/>
      <c r="Q399" s="270"/>
      <c r="R399" s="270"/>
      <c r="S399" s="270"/>
      <c r="T399" s="270"/>
      <c r="U399" s="270"/>
      <c r="V399" s="270"/>
      <c r="W399" s="270"/>
      <c r="X399" s="270"/>
      <c r="Y399" s="270"/>
      <c r="Z399" s="270"/>
    </row>
    <row r="400" spans="1:26" ht="15.75" customHeight="1">
      <c r="A400" s="270"/>
      <c r="B400" s="270"/>
      <c r="C400" s="270"/>
      <c r="D400" s="678"/>
      <c r="E400" s="270"/>
      <c r="F400" s="270"/>
      <c r="G400" s="270"/>
      <c r="H400" s="270"/>
      <c r="I400" s="270"/>
      <c r="J400" s="270"/>
      <c r="K400" s="270"/>
      <c r="L400" s="270"/>
      <c r="M400" s="270"/>
      <c r="N400" s="270"/>
      <c r="O400" s="270"/>
      <c r="P400" s="270"/>
      <c r="Q400" s="270"/>
      <c r="R400" s="270"/>
      <c r="S400" s="270"/>
      <c r="T400" s="270"/>
      <c r="U400" s="270"/>
      <c r="V400" s="270"/>
      <c r="W400" s="270"/>
      <c r="X400" s="270"/>
      <c r="Y400" s="270"/>
      <c r="Z400" s="270"/>
    </row>
    <row r="401" spans="1:26" ht="15.75" customHeight="1">
      <c r="A401" s="270"/>
      <c r="B401" s="270"/>
      <c r="C401" s="270"/>
      <c r="D401" s="678"/>
      <c r="E401" s="270"/>
      <c r="F401" s="270"/>
      <c r="G401" s="270"/>
      <c r="H401" s="270"/>
      <c r="I401" s="270"/>
      <c r="J401" s="270"/>
      <c r="K401" s="270"/>
      <c r="L401" s="270"/>
      <c r="M401" s="270"/>
      <c r="N401" s="270"/>
      <c r="O401" s="270"/>
      <c r="P401" s="270"/>
      <c r="Q401" s="270"/>
      <c r="R401" s="270"/>
      <c r="S401" s="270"/>
      <c r="T401" s="270"/>
      <c r="U401" s="270"/>
      <c r="V401" s="270"/>
      <c r="W401" s="270"/>
      <c r="X401" s="270"/>
      <c r="Y401" s="270"/>
      <c r="Z401" s="270"/>
    </row>
    <row r="402" spans="1:26" ht="15.75" customHeight="1">
      <c r="A402" s="270"/>
      <c r="B402" s="270"/>
      <c r="C402" s="270"/>
      <c r="D402" s="678"/>
      <c r="E402" s="270"/>
      <c r="F402" s="270"/>
      <c r="G402" s="270"/>
      <c r="H402" s="270"/>
      <c r="I402" s="270"/>
      <c r="J402" s="270"/>
      <c r="K402" s="270"/>
      <c r="L402" s="270"/>
      <c r="M402" s="270"/>
      <c r="N402" s="270"/>
      <c r="O402" s="270"/>
      <c r="P402" s="270"/>
      <c r="Q402" s="270"/>
      <c r="R402" s="270"/>
      <c r="S402" s="270"/>
      <c r="T402" s="270"/>
      <c r="U402" s="270"/>
      <c r="V402" s="270"/>
      <c r="W402" s="270"/>
      <c r="X402" s="270"/>
      <c r="Y402" s="270"/>
      <c r="Z402" s="270"/>
    </row>
    <row r="403" spans="1:26" ht="15.75" customHeight="1">
      <c r="A403" s="270"/>
      <c r="B403" s="270"/>
      <c r="C403" s="270"/>
      <c r="D403" s="678"/>
      <c r="E403" s="270"/>
      <c r="F403" s="270"/>
      <c r="G403" s="270"/>
      <c r="H403" s="270"/>
      <c r="I403" s="270"/>
      <c r="J403" s="270"/>
      <c r="K403" s="270"/>
      <c r="L403" s="270"/>
      <c r="M403" s="270"/>
      <c r="N403" s="270"/>
      <c r="O403" s="270"/>
      <c r="P403" s="270"/>
      <c r="Q403" s="270"/>
      <c r="R403" s="270"/>
      <c r="S403" s="270"/>
      <c r="T403" s="270"/>
      <c r="U403" s="270"/>
      <c r="V403" s="270"/>
      <c r="W403" s="270"/>
      <c r="X403" s="270"/>
      <c r="Y403" s="270"/>
      <c r="Z403" s="270"/>
    </row>
    <row r="404" spans="1:26" ht="15.75" customHeight="1">
      <c r="A404" s="270"/>
      <c r="B404" s="270"/>
      <c r="C404" s="270"/>
      <c r="D404" s="678"/>
      <c r="E404" s="270"/>
      <c r="F404" s="270"/>
      <c r="G404" s="270"/>
      <c r="H404" s="270"/>
      <c r="I404" s="270"/>
      <c r="J404" s="270"/>
      <c r="K404" s="270"/>
      <c r="L404" s="270"/>
      <c r="M404" s="270"/>
      <c r="N404" s="270"/>
      <c r="O404" s="270"/>
      <c r="P404" s="270"/>
      <c r="Q404" s="270"/>
      <c r="R404" s="270"/>
      <c r="S404" s="270"/>
      <c r="T404" s="270"/>
      <c r="U404" s="270"/>
      <c r="V404" s="270"/>
      <c r="W404" s="270"/>
      <c r="X404" s="270"/>
      <c r="Y404" s="270"/>
      <c r="Z404" s="270"/>
    </row>
    <row r="405" spans="1:26" ht="15.75" customHeight="1">
      <c r="A405" s="270"/>
      <c r="B405" s="270"/>
      <c r="C405" s="270"/>
      <c r="D405" s="678"/>
      <c r="E405" s="270"/>
      <c r="F405" s="270"/>
      <c r="G405" s="270"/>
      <c r="H405" s="270"/>
      <c r="I405" s="270"/>
      <c r="J405" s="270"/>
      <c r="K405" s="270"/>
      <c r="L405" s="270"/>
      <c r="M405" s="270"/>
      <c r="N405" s="270"/>
      <c r="O405" s="270"/>
      <c r="P405" s="270"/>
      <c r="Q405" s="270"/>
      <c r="R405" s="270"/>
      <c r="S405" s="270"/>
      <c r="T405" s="270"/>
      <c r="U405" s="270"/>
      <c r="V405" s="270"/>
      <c r="W405" s="270"/>
      <c r="X405" s="270"/>
      <c r="Y405" s="270"/>
      <c r="Z405" s="270"/>
    </row>
    <row r="406" spans="1:26" ht="15.75" customHeight="1">
      <c r="A406" s="270"/>
      <c r="B406" s="270"/>
      <c r="C406" s="270"/>
      <c r="D406" s="678"/>
      <c r="E406" s="270"/>
      <c r="F406" s="270"/>
      <c r="G406" s="270"/>
      <c r="H406" s="270"/>
      <c r="I406" s="270"/>
      <c r="J406" s="270"/>
      <c r="K406" s="270"/>
      <c r="L406" s="270"/>
      <c r="M406" s="270"/>
      <c r="N406" s="270"/>
      <c r="O406" s="270"/>
      <c r="P406" s="270"/>
      <c r="Q406" s="270"/>
      <c r="R406" s="270"/>
      <c r="S406" s="270"/>
      <c r="T406" s="270"/>
      <c r="U406" s="270"/>
      <c r="V406" s="270"/>
      <c r="W406" s="270"/>
      <c r="X406" s="270"/>
      <c r="Y406" s="270"/>
      <c r="Z406" s="270"/>
    </row>
    <row r="407" spans="1:26" ht="15.75" customHeight="1">
      <c r="A407" s="270"/>
      <c r="B407" s="270"/>
      <c r="C407" s="270"/>
      <c r="D407" s="678"/>
      <c r="E407" s="270"/>
      <c r="F407" s="270"/>
      <c r="G407" s="270"/>
      <c r="H407" s="270"/>
      <c r="I407" s="270"/>
      <c r="J407" s="270"/>
      <c r="K407" s="270"/>
      <c r="L407" s="270"/>
      <c r="M407" s="270"/>
      <c r="N407" s="270"/>
      <c r="O407" s="270"/>
      <c r="P407" s="270"/>
      <c r="Q407" s="270"/>
      <c r="R407" s="270"/>
      <c r="S407" s="270"/>
      <c r="T407" s="270"/>
      <c r="U407" s="270"/>
      <c r="V407" s="270"/>
      <c r="W407" s="270"/>
      <c r="X407" s="270"/>
      <c r="Y407" s="270"/>
      <c r="Z407" s="270"/>
    </row>
    <row r="408" spans="1:26" ht="15.75" customHeight="1">
      <c r="A408" s="270"/>
      <c r="B408" s="270"/>
      <c r="C408" s="270"/>
      <c r="D408" s="678"/>
      <c r="E408" s="270"/>
      <c r="F408" s="270"/>
      <c r="G408" s="270"/>
      <c r="H408" s="270"/>
      <c r="I408" s="270"/>
      <c r="J408" s="270"/>
      <c r="K408" s="270"/>
      <c r="L408" s="270"/>
      <c r="M408" s="270"/>
      <c r="N408" s="270"/>
      <c r="O408" s="270"/>
      <c r="P408" s="270"/>
      <c r="Q408" s="270"/>
      <c r="R408" s="270"/>
      <c r="S408" s="270"/>
      <c r="T408" s="270"/>
      <c r="U408" s="270"/>
      <c r="V408" s="270"/>
      <c r="W408" s="270"/>
      <c r="X408" s="270"/>
      <c r="Y408" s="270"/>
      <c r="Z408" s="270"/>
    </row>
    <row r="409" spans="1:26" ht="15.75" customHeight="1">
      <c r="A409" s="270"/>
      <c r="B409" s="270"/>
      <c r="C409" s="270"/>
      <c r="D409" s="678"/>
      <c r="E409" s="270"/>
      <c r="F409" s="270"/>
      <c r="G409" s="270"/>
      <c r="H409" s="270"/>
      <c r="I409" s="270"/>
      <c r="J409" s="270"/>
      <c r="K409" s="270"/>
      <c r="L409" s="270"/>
      <c r="M409" s="270"/>
      <c r="N409" s="270"/>
      <c r="O409" s="270"/>
      <c r="P409" s="270"/>
      <c r="Q409" s="270"/>
      <c r="R409" s="270"/>
      <c r="S409" s="270"/>
      <c r="T409" s="270"/>
      <c r="U409" s="270"/>
      <c r="V409" s="270"/>
      <c r="W409" s="270"/>
      <c r="X409" s="270"/>
      <c r="Y409" s="270"/>
      <c r="Z409" s="270"/>
    </row>
    <row r="410" spans="1:26" ht="15.75" customHeight="1">
      <c r="A410" s="270"/>
      <c r="B410" s="270"/>
      <c r="C410" s="270"/>
      <c r="D410" s="678"/>
      <c r="E410" s="270"/>
      <c r="F410" s="270"/>
      <c r="G410" s="270"/>
      <c r="H410" s="270"/>
      <c r="I410" s="270"/>
      <c r="J410" s="270"/>
      <c r="K410" s="270"/>
      <c r="L410" s="270"/>
      <c r="M410" s="270"/>
      <c r="N410" s="270"/>
      <c r="O410" s="270"/>
      <c r="P410" s="270"/>
      <c r="Q410" s="270"/>
      <c r="R410" s="270"/>
      <c r="S410" s="270"/>
      <c r="T410" s="270"/>
      <c r="U410" s="270"/>
      <c r="V410" s="270"/>
      <c r="W410" s="270"/>
      <c r="X410" s="270"/>
      <c r="Y410" s="270"/>
      <c r="Z410" s="270"/>
    </row>
    <row r="411" spans="1:26" ht="15.75" customHeight="1">
      <c r="A411" s="270"/>
      <c r="B411" s="270"/>
      <c r="C411" s="270"/>
      <c r="D411" s="678"/>
      <c r="E411" s="270"/>
      <c r="F411" s="270"/>
      <c r="G411" s="270"/>
      <c r="H411" s="270"/>
      <c r="I411" s="270"/>
      <c r="J411" s="270"/>
      <c r="K411" s="270"/>
      <c r="L411" s="270"/>
      <c r="M411" s="270"/>
      <c r="N411" s="270"/>
      <c r="O411" s="270"/>
      <c r="P411" s="270"/>
      <c r="Q411" s="270"/>
      <c r="R411" s="270"/>
      <c r="S411" s="270"/>
      <c r="T411" s="270"/>
      <c r="U411" s="270"/>
      <c r="V411" s="270"/>
      <c r="W411" s="270"/>
      <c r="X411" s="270"/>
      <c r="Y411" s="270"/>
      <c r="Z411" s="270"/>
    </row>
    <row r="412" spans="1:26" ht="15.75" customHeight="1">
      <c r="A412" s="270"/>
      <c r="B412" s="270"/>
      <c r="C412" s="270"/>
      <c r="D412" s="678"/>
      <c r="E412" s="270"/>
      <c r="F412" s="270"/>
      <c r="G412" s="270"/>
      <c r="H412" s="270"/>
      <c r="I412" s="270"/>
      <c r="J412" s="270"/>
      <c r="K412" s="270"/>
      <c r="L412" s="270"/>
      <c r="M412" s="270"/>
      <c r="N412" s="270"/>
      <c r="O412" s="270"/>
      <c r="P412" s="270"/>
      <c r="Q412" s="270"/>
      <c r="R412" s="270"/>
      <c r="S412" s="270"/>
      <c r="T412" s="270"/>
      <c r="U412" s="270"/>
      <c r="V412" s="270"/>
      <c r="W412" s="270"/>
      <c r="X412" s="270"/>
      <c r="Y412" s="270"/>
      <c r="Z412" s="270"/>
    </row>
    <row r="413" spans="1:26" ht="15.75" customHeight="1">
      <c r="A413" s="270"/>
      <c r="B413" s="270"/>
      <c r="C413" s="270"/>
      <c r="D413" s="678"/>
      <c r="E413" s="270"/>
      <c r="F413" s="270"/>
      <c r="G413" s="270"/>
      <c r="H413" s="270"/>
      <c r="I413" s="270"/>
      <c r="J413" s="270"/>
      <c r="K413" s="270"/>
      <c r="L413" s="270"/>
      <c r="M413" s="270"/>
      <c r="N413" s="270"/>
      <c r="O413" s="270"/>
      <c r="P413" s="270"/>
      <c r="Q413" s="270"/>
      <c r="R413" s="270"/>
      <c r="S413" s="270"/>
      <c r="T413" s="270"/>
      <c r="U413" s="270"/>
      <c r="V413" s="270"/>
      <c r="W413" s="270"/>
      <c r="X413" s="270"/>
      <c r="Y413" s="270"/>
      <c r="Z413" s="270"/>
    </row>
    <row r="414" spans="1:26" ht="15.75" customHeight="1">
      <c r="A414" s="270"/>
      <c r="B414" s="270"/>
      <c r="C414" s="270"/>
      <c r="D414" s="678"/>
      <c r="E414" s="270"/>
      <c r="F414" s="270"/>
      <c r="G414" s="270"/>
      <c r="H414" s="270"/>
      <c r="I414" s="270"/>
      <c r="J414" s="270"/>
      <c r="K414" s="270"/>
      <c r="L414" s="270"/>
      <c r="M414" s="270"/>
      <c r="N414" s="270"/>
      <c r="O414" s="270"/>
      <c r="P414" s="270"/>
      <c r="Q414" s="270"/>
      <c r="R414" s="270"/>
      <c r="S414" s="270"/>
      <c r="T414" s="270"/>
      <c r="U414" s="270"/>
      <c r="V414" s="270"/>
      <c r="W414" s="270"/>
      <c r="X414" s="270"/>
      <c r="Y414" s="270"/>
      <c r="Z414" s="270"/>
    </row>
    <row r="415" spans="1:26" ht="15.75" customHeight="1">
      <c r="A415" s="270"/>
      <c r="B415" s="270"/>
      <c r="C415" s="270"/>
      <c r="D415" s="678"/>
      <c r="E415" s="270"/>
      <c r="F415" s="270"/>
      <c r="G415" s="270"/>
      <c r="H415" s="270"/>
      <c r="I415" s="270"/>
      <c r="J415" s="270"/>
      <c r="K415" s="270"/>
      <c r="L415" s="270"/>
      <c r="M415" s="270"/>
      <c r="N415" s="270"/>
      <c r="O415" s="270"/>
      <c r="P415" s="270"/>
      <c r="Q415" s="270"/>
      <c r="R415" s="270"/>
      <c r="S415" s="270"/>
      <c r="T415" s="270"/>
      <c r="U415" s="270"/>
      <c r="V415" s="270"/>
      <c r="W415" s="270"/>
      <c r="X415" s="270"/>
      <c r="Y415" s="270"/>
      <c r="Z415" s="270"/>
    </row>
    <row r="416" spans="1:26" ht="15.75" customHeight="1">
      <c r="A416" s="270"/>
      <c r="B416" s="270"/>
      <c r="C416" s="270"/>
      <c r="D416" s="678"/>
      <c r="E416" s="270"/>
      <c r="F416" s="270"/>
      <c r="G416" s="270"/>
      <c r="H416" s="270"/>
      <c r="I416" s="270"/>
      <c r="J416" s="270"/>
      <c r="K416" s="270"/>
      <c r="L416" s="270"/>
      <c r="M416" s="270"/>
      <c r="N416" s="270"/>
      <c r="O416" s="270"/>
      <c r="P416" s="270"/>
      <c r="Q416" s="270"/>
      <c r="R416" s="270"/>
      <c r="S416" s="270"/>
      <c r="T416" s="270"/>
      <c r="U416" s="270"/>
      <c r="V416" s="270"/>
      <c r="W416" s="270"/>
      <c r="X416" s="270"/>
      <c r="Y416" s="270"/>
      <c r="Z416" s="270"/>
    </row>
    <row r="417" spans="1:26" ht="15.75" customHeight="1">
      <c r="A417" s="270"/>
      <c r="B417" s="270"/>
      <c r="C417" s="270"/>
      <c r="D417" s="678"/>
      <c r="E417" s="270"/>
      <c r="F417" s="270"/>
      <c r="G417" s="270"/>
      <c r="H417" s="270"/>
      <c r="I417" s="270"/>
      <c r="J417" s="270"/>
      <c r="K417" s="270"/>
      <c r="L417" s="270"/>
      <c r="M417" s="270"/>
      <c r="N417" s="270"/>
      <c r="O417" s="270"/>
      <c r="P417" s="270"/>
      <c r="Q417" s="270"/>
      <c r="R417" s="270"/>
      <c r="S417" s="270"/>
      <c r="T417" s="270"/>
      <c r="U417" s="270"/>
      <c r="V417" s="270"/>
      <c r="W417" s="270"/>
      <c r="X417" s="270"/>
      <c r="Y417" s="270"/>
      <c r="Z417" s="270"/>
    </row>
    <row r="418" spans="1:26" ht="15.75" customHeight="1">
      <c r="A418" s="270"/>
      <c r="B418" s="270"/>
      <c r="C418" s="270"/>
      <c r="D418" s="678"/>
      <c r="E418" s="270"/>
      <c r="F418" s="270"/>
      <c r="G418" s="270"/>
      <c r="H418" s="270"/>
      <c r="I418" s="270"/>
      <c r="J418" s="270"/>
      <c r="K418" s="270"/>
      <c r="L418" s="270"/>
      <c r="M418" s="270"/>
      <c r="N418" s="270"/>
      <c r="O418" s="270"/>
      <c r="P418" s="270"/>
      <c r="Q418" s="270"/>
      <c r="R418" s="270"/>
      <c r="S418" s="270"/>
      <c r="T418" s="270"/>
      <c r="U418" s="270"/>
      <c r="V418" s="270"/>
      <c r="W418" s="270"/>
      <c r="X418" s="270"/>
      <c r="Y418" s="270"/>
      <c r="Z418" s="270"/>
    </row>
    <row r="419" spans="1:26" ht="15.75" customHeight="1">
      <c r="A419" s="270"/>
      <c r="B419" s="270"/>
      <c r="C419" s="270"/>
      <c r="D419" s="678"/>
      <c r="E419" s="270"/>
      <c r="F419" s="270"/>
      <c r="G419" s="270"/>
      <c r="H419" s="270"/>
      <c r="I419" s="270"/>
      <c r="J419" s="270"/>
      <c r="K419" s="270"/>
      <c r="L419" s="270"/>
      <c r="M419" s="270"/>
      <c r="N419" s="270"/>
      <c r="O419" s="270"/>
      <c r="P419" s="270"/>
      <c r="Q419" s="270"/>
      <c r="R419" s="270"/>
      <c r="S419" s="270"/>
      <c r="T419" s="270"/>
      <c r="U419" s="270"/>
      <c r="V419" s="270"/>
      <c r="W419" s="270"/>
      <c r="X419" s="270"/>
      <c r="Y419" s="270"/>
      <c r="Z419" s="270"/>
    </row>
    <row r="420" spans="1:26" ht="15.75" customHeight="1">
      <c r="A420" s="270"/>
      <c r="B420" s="270"/>
      <c r="C420" s="270"/>
      <c r="D420" s="678"/>
      <c r="E420" s="270"/>
      <c r="F420" s="270"/>
      <c r="G420" s="270"/>
      <c r="H420" s="270"/>
      <c r="I420" s="270"/>
      <c r="J420" s="270"/>
      <c r="K420" s="270"/>
      <c r="L420" s="270"/>
      <c r="M420" s="270"/>
      <c r="N420" s="270"/>
      <c r="O420" s="270"/>
      <c r="P420" s="270"/>
      <c r="Q420" s="270"/>
      <c r="R420" s="270"/>
      <c r="S420" s="270"/>
      <c r="T420" s="270"/>
      <c r="U420" s="270"/>
      <c r="V420" s="270"/>
      <c r="W420" s="270"/>
      <c r="X420" s="270"/>
      <c r="Y420" s="270"/>
      <c r="Z420" s="270"/>
    </row>
    <row r="421" spans="1:26" ht="15.75" customHeight="1">
      <c r="A421" s="270"/>
      <c r="B421" s="270"/>
      <c r="C421" s="270"/>
      <c r="D421" s="678"/>
      <c r="E421" s="270"/>
      <c r="F421" s="270"/>
      <c r="G421" s="270"/>
      <c r="H421" s="270"/>
      <c r="I421" s="270"/>
      <c r="J421" s="270"/>
      <c r="K421" s="270"/>
      <c r="L421" s="270"/>
      <c r="M421" s="270"/>
      <c r="N421" s="270"/>
      <c r="O421" s="270"/>
      <c r="P421" s="270"/>
      <c r="Q421" s="270"/>
      <c r="R421" s="270"/>
      <c r="S421" s="270"/>
      <c r="T421" s="270"/>
      <c r="U421" s="270"/>
      <c r="V421" s="270"/>
      <c r="W421" s="270"/>
      <c r="X421" s="270"/>
      <c r="Y421" s="270"/>
      <c r="Z421" s="270"/>
    </row>
    <row r="422" spans="1:26" ht="15.75" customHeight="1">
      <c r="A422" s="270"/>
      <c r="B422" s="270"/>
      <c r="C422" s="270"/>
      <c r="D422" s="678"/>
      <c r="E422" s="270"/>
      <c r="F422" s="270"/>
      <c r="G422" s="270"/>
      <c r="H422" s="270"/>
      <c r="I422" s="270"/>
      <c r="J422" s="270"/>
      <c r="K422" s="270"/>
      <c r="L422" s="270"/>
      <c r="M422" s="270"/>
      <c r="N422" s="270"/>
      <c r="O422" s="270"/>
      <c r="P422" s="270"/>
      <c r="Q422" s="270"/>
      <c r="R422" s="270"/>
      <c r="S422" s="270"/>
      <c r="T422" s="270"/>
      <c r="U422" s="270"/>
      <c r="V422" s="270"/>
      <c r="W422" s="270"/>
      <c r="X422" s="270"/>
      <c r="Y422" s="270"/>
      <c r="Z422" s="270"/>
    </row>
    <row r="423" spans="1:26" ht="15.75" customHeight="1">
      <c r="A423" s="270"/>
      <c r="B423" s="270"/>
      <c r="C423" s="270"/>
      <c r="D423" s="678"/>
      <c r="E423" s="270"/>
      <c r="F423" s="270"/>
      <c r="G423" s="270"/>
      <c r="H423" s="270"/>
      <c r="I423" s="270"/>
      <c r="J423" s="270"/>
      <c r="K423" s="270"/>
      <c r="L423" s="270"/>
      <c r="M423" s="270"/>
      <c r="N423" s="270"/>
      <c r="O423" s="270"/>
      <c r="P423" s="270"/>
      <c r="Q423" s="270"/>
      <c r="R423" s="270"/>
      <c r="S423" s="270"/>
      <c r="T423" s="270"/>
      <c r="U423" s="270"/>
      <c r="V423" s="270"/>
      <c r="W423" s="270"/>
      <c r="X423" s="270"/>
      <c r="Y423" s="270"/>
      <c r="Z423" s="270"/>
    </row>
    <row r="424" spans="1:26" ht="15.75" customHeight="1">
      <c r="A424" s="270"/>
      <c r="B424" s="270"/>
      <c r="C424" s="270"/>
      <c r="D424" s="678"/>
      <c r="E424" s="270"/>
      <c r="F424" s="270"/>
      <c r="G424" s="270"/>
      <c r="H424" s="270"/>
      <c r="I424" s="270"/>
      <c r="J424" s="270"/>
      <c r="K424" s="270"/>
      <c r="L424" s="270"/>
      <c r="M424" s="270"/>
      <c r="N424" s="270"/>
      <c r="O424" s="270"/>
      <c r="P424" s="270"/>
      <c r="Q424" s="270"/>
      <c r="R424" s="270"/>
      <c r="S424" s="270"/>
      <c r="T424" s="270"/>
      <c r="U424" s="270"/>
      <c r="V424" s="270"/>
      <c r="W424" s="270"/>
      <c r="X424" s="270"/>
      <c r="Y424" s="270"/>
      <c r="Z424" s="270"/>
    </row>
    <row r="425" spans="1:26" ht="15.75" customHeight="1">
      <c r="A425" s="270"/>
      <c r="B425" s="270"/>
      <c r="C425" s="270"/>
      <c r="D425" s="678"/>
      <c r="E425" s="270"/>
      <c r="F425" s="270"/>
      <c r="G425" s="270"/>
      <c r="H425" s="270"/>
      <c r="I425" s="270"/>
      <c r="J425" s="270"/>
      <c r="K425" s="270"/>
      <c r="L425" s="270"/>
      <c r="M425" s="270"/>
      <c r="N425" s="270"/>
      <c r="O425" s="270"/>
      <c r="P425" s="270"/>
      <c r="Q425" s="270"/>
      <c r="R425" s="270"/>
      <c r="S425" s="270"/>
      <c r="T425" s="270"/>
      <c r="U425" s="270"/>
      <c r="V425" s="270"/>
      <c r="W425" s="270"/>
      <c r="X425" s="270"/>
      <c r="Y425" s="270"/>
      <c r="Z425" s="270"/>
    </row>
    <row r="426" spans="1:26" ht="15.75" customHeight="1">
      <c r="A426" s="270"/>
      <c r="B426" s="270"/>
      <c r="C426" s="270"/>
      <c r="D426" s="678"/>
      <c r="E426" s="270"/>
      <c r="F426" s="270"/>
      <c r="G426" s="270"/>
      <c r="H426" s="270"/>
      <c r="I426" s="270"/>
      <c r="J426" s="270"/>
      <c r="K426" s="270"/>
      <c r="L426" s="270"/>
      <c r="M426" s="270"/>
      <c r="N426" s="270"/>
      <c r="O426" s="270"/>
      <c r="P426" s="270"/>
      <c r="Q426" s="270"/>
      <c r="R426" s="270"/>
      <c r="S426" s="270"/>
      <c r="T426" s="270"/>
      <c r="U426" s="270"/>
      <c r="V426" s="270"/>
      <c r="W426" s="270"/>
      <c r="X426" s="270"/>
      <c r="Y426" s="270"/>
      <c r="Z426" s="270"/>
    </row>
    <row r="427" spans="1:26" ht="15.75" customHeight="1">
      <c r="A427" s="270"/>
      <c r="B427" s="270"/>
      <c r="C427" s="270"/>
      <c r="D427" s="678"/>
      <c r="E427" s="270"/>
      <c r="F427" s="270"/>
      <c r="G427" s="270"/>
      <c r="H427" s="270"/>
      <c r="I427" s="270"/>
      <c r="J427" s="270"/>
      <c r="K427" s="270"/>
      <c r="L427" s="270"/>
      <c r="M427" s="270"/>
      <c r="N427" s="270"/>
      <c r="O427" s="270"/>
      <c r="P427" s="270"/>
      <c r="Q427" s="270"/>
      <c r="R427" s="270"/>
      <c r="S427" s="270"/>
      <c r="T427" s="270"/>
      <c r="U427" s="270"/>
      <c r="V427" s="270"/>
      <c r="W427" s="270"/>
      <c r="X427" s="270"/>
      <c r="Y427" s="270"/>
      <c r="Z427" s="270"/>
    </row>
    <row r="428" spans="1:26" ht="15.75" customHeight="1">
      <c r="A428" s="270"/>
      <c r="B428" s="270"/>
      <c r="C428" s="270"/>
      <c r="D428" s="678"/>
      <c r="E428" s="270"/>
      <c r="F428" s="270"/>
      <c r="G428" s="270"/>
      <c r="H428" s="270"/>
      <c r="I428" s="270"/>
      <c r="J428" s="270"/>
      <c r="K428" s="270"/>
      <c r="L428" s="270"/>
      <c r="M428" s="270"/>
      <c r="N428" s="270"/>
      <c r="O428" s="270"/>
      <c r="P428" s="270"/>
      <c r="Q428" s="270"/>
      <c r="R428" s="270"/>
      <c r="S428" s="270"/>
      <c r="T428" s="270"/>
      <c r="U428" s="270"/>
      <c r="V428" s="270"/>
      <c r="W428" s="270"/>
      <c r="X428" s="270"/>
      <c r="Y428" s="270"/>
      <c r="Z428" s="270"/>
    </row>
    <row r="429" spans="1:26" ht="15.75" customHeight="1">
      <c r="A429" s="270"/>
      <c r="B429" s="270"/>
      <c r="C429" s="270"/>
      <c r="D429" s="678"/>
      <c r="E429" s="270"/>
      <c r="F429" s="270"/>
      <c r="G429" s="270"/>
      <c r="H429" s="270"/>
      <c r="I429" s="270"/>
      <c r="J429" s="270"/>
      <c r="K429" s="270"/>
      <c r="L429" s="270"/>
      <c r="M429" s="270"/>
      <c r="N429" s="270"/>
      <c r="O429" s="270"/>
      <c r="P429" s="270"/>
      <c r="Q429" s="270"/>
      <c r="R429" s="270"/>
      <c r="S429" s="270"/>
      <c r="T429" s="270"/>
      <c r="U429" s="270"/>
      <c r="V429" s="270"/>
      <c r="W429" s="270"/>
      <c r="X429" s="270"/>
      <c r="Y429" s="270"/>
      <c r="Z429" s="270"/>
    </row>
    <row r="430" spans="1:26" ht="15.75" customHeight="1">
      <c r="A430" s="270"/>
      <c r="B430" s="270"/>
      <c r="C430" s="270"/>
      <c r="D430" s="678"/>
      <c r="E430" s="270"/>
      <c r="F430" s="270"/>
      <c r="G430" s="270"/>
      <c r="H430" s="270"/>
      <c r="I430" s="270"/>
      <c r="J430" s="270"/>
      <c r="K430" s="270"/>
      <c r="L430" s="270"/>
      <c r="M430" s="270"/>
      <c r="N430" s="270"/>
      <c r="O430" s="270"/>
      <c r="P430" s="270"/>
      <c r="Q430" s="270"/>
      <c r="R430" s="270"/>
      <c r="S430" s="270"/>
      <c r="T430" s="270"/>
      <c r="U430" s="270"/>
      <c r="V430" s="270"/>
      <c r="W430" s="270"/>
      <c r="X430" s="270"/>
      <c r="Y430" s="270"/>
      <c r="Z430" s="270"/>
    </row>
    <row r="431" spans="1:26" ht="15.75" customHeight="1">
      <c r="A431" s="270"/>
      <c r="B431" s="270"/>
      <c r="C431" s="270"/>
      <c r="D431" s="678"/>
      <c r="E431" s="270"/>
      <c r="F431" s="270"/>
      <c r="G431" s="270"/>
      <c r="H431" s="270"/>
      <c r="I431" s="270"/>
      <c r="J431" s="270"/>
      <c r="K431" s="270"/>
      <c r="L431" s="270"/>
      <c r="M431" s="270"/>
      <c r="N431" s="270"/>
      <c r="O431" s="270"/>
      <c r="P431" s="270"/>
      <c r="Q431" s="270"/>
      <c r="R431" s="270"/>
      <c r="S431" s="270"/>
      <c r="T431" s="270"/>
      <c r="U431" s="270"/>
      <c r="V431" s="270"/>
      <c r="W431" s="270"/>
      <c r="X431" s="270"/>
      <c r="Y431" s="270"/>
      <c r="Z431" s="270"/>
    </row>
    <row r="432" spans="1:26" ht="15.75" customHeight="1">
      <c r="A432" s="270"/>
      <c r="B432" s="270"/>
      <c r="C432" s="270"/>
      <c r="D432" s="678"/>
      <c r="E432" s="270"/>
      <c r="F432" s="270"/>
      <c r="G432" s="270"/>
      <c r="H432" s="270"/>
      <c r="I432" s="270"/>
      <c r="J432" s="270"/>
      <c r="K432" s="270"/>
      <c r="L432" s="270"/>
      <c r="M432" s="270"/>
      <c r="N432" s="270"/>
      <c r="O432" s="270"/>
      <c r="P432" s="270"/>
      <c r="Q432" s="270"/>
      <c r="R432" s="270"/>
      <c r="S432" s="270"/>
      <c r="T432" s="270"/>
      <c r="U432" s="270"/>
      <c r="V432" s="270"/>
      <c r="W432" s="270"/>
      <c r="X432" s="270"/>
      <c r="Y432" s="270"/>
      <c r="Z432" s="270"/>
    </row>
    <row r="433" spans="1:26" ht="15.75" customHeight="1">
      <c r="A433" s="270"/>
      <c r="B433" s="270"/>
      <c r="C433" s="270"/>
      <c r="D433" s="678"/>
      <c r="E433" s="270"/>
      <c r="F433" s="270"/>
      <c r="G433" s="270"/>
      <c r="H433" s="270"/>
      <c r="I433" s="270"/>
      <c r="J433" s="270"/>
      <c r="K433" s="270"/>
      <c r="L433" s="270"/>
      <c r="M433" s="270"/>
      <c r="N433" s="270"/>
      <c r="O433" s="270"/>
      <c r="P433" s="270"/>
      <c r="Q433" s="270"/>
      <c r="R433" s="270"/>
      <c r="S433" s="270"/>
      <c r="T433" s="270"/>
      <c r="U433" s="270"/>
      <c r="V433" s="270"/>
      <c r="W433" s="270"/>
      <c r="X433" s="270"/>
      <c r="Y433" s="270"/>
      <c r="Z433" s="270"/>
    </row>
    <row r="434" spans="1:26" ht="15.75" customHeight="1">
      <c r="A434" s="270"/>
      <c r="B434" s="270"/>
      <c r="C434" s="270"/>
      <c r="D434" s="678"/>
      <c r="E434" s="270"/>
      <c r="F434" s="270"/>
      <c r="G434" s="270"/>
      <c r="H434" s="270"/>
      <c r="I434" s="270"/>
      <c r="J434" s="270"/>
      <c r="K434" s="270"/>
      <c r="L434" s="270"/>
      <c r="M434" s="270"/>
      <c r="N434" s="270"/>
      <c r="O434" s="270"/>
      <c r="P434" s="270"/>
      <c r="Q434" s="270"/>
      <c r="R434" s="270"/>
      <c r="S434" s="270"/>
      <c r="T434" s="270"/>
      <c r="U434" s="270"/>
      <c r="V434" s="270"/>
      <c r="W434" s="270"/>
      <c r="X434" s="270"/>
      <c r="Y434" s="270"/>
      <c r="Z434" s="270"/>
    </row>
    <row r="435" spans="1:26" ht="15.75" customHeight="1">
      <c r="A435" s="270"/>
      <c r="B435" s="270"/>
      <c r="C435" s="270"/>
      <c r="D435" s="678"/>
      <c r="E435" s="270"/>
      <c r="F435" s="270"/>
      <c r="G435" s="270"/>
      <c r="H435" s="270"/>
      <c r="I435" s="270"/>
      <c r="J435" s="270"/>
      <c r="K435" s="270"/>
      <c r="L435" s="270"/>
      <c r="M435" s="270"/>
      <c r="N435" s="270"/>
      <c r="O435" s="270"/>
      <c r="P435" s="270"/>
      <c r="Q435" s="270"/>
      <c r="R435" s="270"/>
      <c r="S435" s="270"/>
      <c r="T435" s="270"/>
      <c r="U435" s="270"/>
      <c r="V435" s="270"/>
      <c r="W435" s="270"/>
      <c r="X435" s="270"/>
      <c r="Y435" s="270"/>
      <c r="Z435" s="270"/>
    </row>
    <row r="436" spans="1:26" ht="15.75" customHeight="1">
      <c r="A436" s="270"/>
      <c r="B436" s="270"/>
      <c r="C436" s="270"/>
      <c r="D436" s="678"/>
      <c r="E436" s="270"/>
      <c r="F436" s="270"/>
      <c r="G436" s="270"/>
      <c r="H436" s="270"/>
      <c r="I436" s="270"/>
      <c r="J436" s="270"/>
      <c r="K436" s="270"/>
      <c r="L436" s="270"/>
      <c r="M436" s="270"/>
      <c r="N436" s="270"/>
      <c r="O436" s="270"/>
      <c r="P436" s="270"/>
      <c r="Q436" s="270"/>
      <c r="R436" s="270"/>
      <c r="S436" s="270"/>
      <c r="T436" s="270"/>
      <c r="U436" s="270"/>
      <c r="V436" s="270"/>
      <c r="W436" s="270"/>
      <c r="X436" s="270"/>
      <c r="Y436" s="270"/>
      <c r="Z436" s="270"/>
    </row>
    <row r="437" spans="1:26" ht="15.75" customHeight="1">
      <c r="A437" s="270"/>
      <c r="B437" s="270"/>
      <c r="C437" s="270"/>
      <c r="D437" s="678"/>
      <c r="E437" s="270"/>
      <c r="F437" s="270"/>
      <c r="G437" s="270"/>
      <c r="H437" s="270"/>
      <c r="I437" s="270"/>
      <c r="J437" s="270"/>
      <c r="K437" s="270"/>
      <c r="L437" s="270"/>
      <c r="M437" s="270"/>
      <c r="N437" s="270"/>
      <c r="O437" s="270"/>
      <c r="P437" s="270"/>
      <c r="Q437" s="270"/>
      <c r="R437" s="270"/>
      <c r="S437" s="270"/>
      <c r="T437" s="270"/>
      <c r="U437" s="270"/>
      <c r="V437" s="270"/>
      <c r="W437" s="270"/>
      <c r="X437" s="270"/>
      <c r="Y437" s="270"/>
      <c r="Z437" s="270"/>
    </row>
    <row r="438" spans="1:26" ht="15.75" customHeight="1">
      <c r="A438" s="270"/>
      <c r="B438" s="270"/>
      <c r="C438" s="270"/>
      <c r="D438" s="678"/>
      <c r="E438" s="270"/>
      <c r="F438" s="270"/>
      <c r="G438" s="270"/>
      <c r="H438" s="270"/>
      <c r="I438" s="270"/>
      <c r="J438" s="270"/>
      <c r="K438" s="270"/>
      <c r="L438" s="270"/>
      <c r="M438" s="270"/>
      <c r="N438" s="270"/>
      <c r="O438" s="270"/>
      <c r="P438" s="270"/>
      <c r="Q438" s="270"/>
      <c r="R438" s="270"/>
      <c r="S438" s="270"/>
      <c r="T438" s="270"/>
      <c r="U438" s="270"/>
      <c r="V438" s="270"/>
      <c r="W438" s="270"/>
      <c r="X438" s="270"/>
      <c r="Y438" s="270"/>
      <c r="Z438" s="270"/>
    </row>
    <row r="439" spans="1:26" ht="15.75" customHeight="1">
      <c r="A439" s="270"/>
      <c r="B439" s="270"/>
      <c r="C439" s="270"/>
      <c r="D439" s="678"/>
      <c r="E439" s="270"/>
      <c r="F439" s="270"/>
      <c r="G439" s="270"/>
      <c r="H439" s="270"/>
      <c r="I439" s="270"/>
      <c r="J439" s="270"/>
      <c r="K439" s="270"/>
      <c r="L439" s="270"/>
      <c r="M439" s="270"/>
      <c r="N439" s="270"/>
      <c r="O439" s="270"/>
      <c r="P439" s="270"/>
      <c r="Q439" s="270"/>
      <c r="R439" s="270"/>
      <c r="S439" s="270"/>
      <c r="T439" s="270"/>
      <c r="U439" s="270"/>
      <c r="V439" s="270"/>
      <c r="W439" s="270"/>
      <c r="X439" s="270"/>
      <c r="Y439" s="270"/>
      <c r="Z439" s="270"/>
    </row>
    <row r="440" spans="1:26" ht="15.75" customHeight="1">
      <c r="A440" s="270"/>
      <c r="B440" s="270"/>
      <c r="C440" s="270"/>
      <c r="D440" s="678"/>
      <c r="E440" s="270"/>
      <c r="F440" s="270"/>
      <c r="G440" s="270"/>
      <c r="H440" s="270"/>
      <c r="I440" s="270"/>
      <c r="J440" s="270"/>
      <c r="K440" s="270"/>
      <c r="L440" s="270"/>
      <c r="M440" s="270"/>
      <c r="N440" s="270"/>
      <c r="O440" s="270"/>
      <c r="P440" s="270"/>
      <c r="Q440" s="270"/>
      <c r="R440" s="270"/>
      <c r="S440" s="270"/>
      <c r="T440" s="270"/>
      <c r="U440" s="270"/>
      <c r="V440" s="270"/>
      <c r="W440" s="270"/>
      <c r="X440" s="270"/>
      <c r="Y440" s="270"/>
      <c r="Z440" s="270"/>
    </row>
    <row r="441" spans="1:26" ht="15.75" customHeight="1">
      <c r="A441" s="270"/>
      <c r="B441" s="270"/>
      <c r="C441" s="270"/>
      <c r="D441" s="678"/>
      <c r="E441" s="270"/>
      <c r="F441" s="270"/>
      <c r="G441" s="270"/>
      <c r="H441" s="270"/>
      <c r="I441" s="270"/>
      <c r="J441" s="270"/>
      <c r="K441" s="270"/>
      <c r="L441" s="270"/>
      <c r="M441" s="270"/>
      <c r="N441" s="270"/>
      <c r="O441" s="270"/>
      <c r="P441" s="270"/>
      <c r="Q441" s="270"/>
      <c r="R441" s="270"/>
      <c r="S441" s="270"/>
      <c r="T441" s="270"/>
      <c r="U441" s="270"/>
      <c r="V441" s="270"/>
      <c r="W441" s="270"/>
      <c r="X441" s="270"/>
      <c r="Y441" s="270"/>
      <c r="Z441" s="270"/>
    </row>
    <row r="442" spans="1:26" ht="15.75" customHeight="1">
      <c r="A442" s="270"/>
      <c r="B442" s="270"/>
      <c r="C442" s="270"/>
      <c r="D442" s="678"/>
      <c r="E442" s="270"/>
      <c r="F442" s="270"/>
      <c r="G442" s="270"/>
      <c r="H442" s="270"/>
      <c r="I442" s="270"/>
      <c r="J442" s="270"/>
      <c r="K442" s="270"/>
      <c r="L442" s="270"/>
      <c r="M442" s="270"/>
      <c r="N442" s="270"/>
      <c r="O442" s="270"/>
      <c r="P442" s="270"/>
      <c r="Q442" s="270"/>
      <c r="R442" s="270"/>
      <c r="S442" s="270"/>
      <c r="T442" s="270"/>
      <c r="U442" s="270"/>
      <c r="V442" s="270"/>
      <c r="W442" s="270"/>
      <c r="X442" s="270"/>
      <c r="Y442" s="270"/>
      <c r="Z442" s="270"/>
    </row>
    <row r="443" spans="1:26" ht="15.75" customHeight="1">
      <c r="A443" s="270"/>
      <c r="B443" s="270"/>
      <c r="C443" s="270"/>
      <c r="D443" s="678"/>
      <c r="E443" s="270"/>
      <c r="F443" s="270"/>
      <c r="G443" s="270"/>
      <c r="H443" s="270"/>
      <c r="I443" s="270"/>
      <c r="J443" s="270"/>
      <c r="K443" s="270"/>
      <c r="L443" s="270"/>
      <c r="M443" s="270"/>
      <c r="N443" s="270"/>
      <c r="O443" s="270"/>
      <c r="P443" s="270"/>
      <c r="Q443" s="270"/>
      <c r="R443" s="270"/>
      <c r="S443" s="270"/>
      <c r="T443" s="270"/>
      <c r="U443" s="270"/>
      <c r="V443" s="270"/>
      <c r="W443" s="270"/>
      <c r="X443" s="270"/>
      <c r="Y443" s="270"/>
      <c r="Z443" s="270"/>
    </row>
    <row r="444" spans="1:26" ht="15.75" customHeight="1">
      <c r="A444" s="270"/>
      <c r="B444" s="270"/>
      <c r="C444" s="270"/>
      <c r="D444" s="678"/>
      <c r="E444" s="270"/>
      <c r="F444" s="270"/>
      <c r="G444" s="270"/>
      <c r="H444" s="270"/>
      <c r="I444" s="270"/>
      <c r="J444" s="270"/>
      <c r="K444" s="270"/>
      <c r="L444" s="270"/>
      <c r="M444" s="270"/>
      <c r="N444" s="270"/>
      <c r="O444" s="270"/>
      <c r="P444" s="270"/>
      <c r="Q444" s="270"/>
      <c r="R444" s="270"/>
      <c r="S444" s="270"/>
      <c r="T444" s="270"/>
      <c r="U444" s="270"/>
      <c r="V444" s="270"/>
      <c r="W444" s="270"/>
      <c r="X444" s="270"/>
      <c r="Y444" s="270"/>
      <c r="Z444" s="270"/>
    </row>
    <row r="445" spans="1:26" ht="15.75" customHeight="1">
      <c r="A445" s="270"/>
      <c r="B445" s="270"/>
      <c r="C445" s="270"/>
      <c r="D445" s="678"/>
      <c r="E445" s="270"/>
      <c r="F445" s="270"/>
      <c r="G445" s="270"/>
      <c r="H445" s="270"/>
      <c r="I445" s="270"/>
      <c r="J445" s="270"/>
      <c r="K445" s="270"/>
      <c r="L445" s="270"/>
      <c r="M445" s="270"/>
      <c r="N445" s="270"/>
      <c r="O445" s="270"/>
      <c r="P445" s="270"/>
      <c r="Q445" s="270"/>
      <c r="R445" s="270"/>
      <c r="S445" s="270"/>
      <c r="T445" s="270"/>
      <c r="U445" s="270"/>
      <c r="V445" s="270"/>
      <c r="W445" s="270"/>
      <c r="X445" s="270"/>
      <c r="Y445" s="270"/>
      <c r="Z445" s="270"/>
    </row>
    <row r="446" spans="1:26" ht="15.75" customHeight="1">
      <c r="A446" s="270"/>
      <c r="B446" s="270"/>
      <c r="C446" s="270"/>
      <c r="D446" s="678"/>
      <c r="E446" s="270"/>
      <c r="F446" s="270"/>
      <c r="G446" s="270"/>
      <c r="H446" s="270"/>
      <c r="I446" s="270"/>
      <c r="J446" s="270"/>
      <c r="K446" s="270"/>
      <c r="L446" s="270"/>
      <c r="M446" s="270"/>
      <c r="N446" s="270"/>
      <c r="O446" s="270"/>
      <c r="P446" s="270"/>
      <c r="Q446" s="270"/>
      <c r="R446" s="270"/>
      <c r="S446" s="270"/>
      <c r="T446" s="270"/>
      <c r="U446" s="270"/>
      <c r="V446" s="270"/>
      <c r="W446" s="270"/>
      <c r="X446" s="270"/>
      <c r="Y446" s="270"/>
      <c r="Z446" s="270"/>
    </row>
    <row r="447" spans="1:26" ht="15.75" customHeight="1">
      <c r="A447" s="270"/>
      <c r="B447" s="270"/>
      <c r="C447" s="270"/>
      <c r="D447" s="678"/>
      <c r="E447" s="270"/>
      <c r="F447" s="270"/>
      <c r="G447" s="270"/>
      <c r="H447" s="270"/>
      <c r="I447" s="270"/>
      <c r="J447" s="270"/>
      <c r="K447" s="270"/>
      <c r="L447" s="270"/>
      <c r="M447" s="270"/>
      <c r="N447" s="270"/>
      <c r="O447" s="270"/>
      <c r="P447" s="270"/>
      <c r="Q447" s="270"/>
      <c r="R447" s="270"/>
      <c r="S447" s="270"/>
      <c r="T447" s="270"/>
      <c r="U447" s="270"/>
      <c r="V447" s="270"/>
      <c r="W447" s="270"/>
      <c r="X447" s="270"/>
      <c r="Y447" s="270"/>
      <c r="Z447" s="270"/>
    </row>
    <row r="448" spans="1:26" ht="15.75" customHeight="1">
      <c r="A448" s="270"/>
      <c r="B448" s="270"/>
      <c r="C448" s="270"/>
      <c r="D448" s="678"/>
      <c r="E448" s="270"/>
      <c r="F448" s="270"/>
      <c r="G448" s="270"/>
      <c r="H448" s="270"/>
      <c r="I448" s="270"/>
      <c r="J448" s="270"/>
      <c r="K448" s="270"/>
      <c r="L448" s="270"/>
      <c r="M448" s="270"/>
      <c r="N448" s="270"/>
      <c r="O448" s="270"/>
      <c r="P448" s="270"/>
      <c r="Q448" s="270"/>
      <c r="R448" s="270"/>
      <c r="S448" s="270"/>
      <c r="T448" s="270"/>
      <c r="U448" s="270"/>
      <c r="V448" s="270"/>
      <c r="W448" s="270"/>
      <c r="X448" s="270"/>
      <c r="Y448" s="270"/>
      <c r="Z448" s="270"/>
    </row>
    <row r="449" spans="1:26" ht="15.75" customHeight="1">
      <c r="A449" s="270"/>
      <c r="B449" s="270"/>
      <c r="C449" s="270"/>
      <c r="D449" s="678"/>
      <c r="E449" s="270"/>
      <c r="F449" s="270"/>
      <c r="G449" s="270"/>
      <c r="H449" s="270"/>
      <c r="I449" s="270"/>
      <c r="J449" s="270"/>
      <c r="K449" s="270"/>
      <c r="L449" s="270"/>
      <c r="M449" s="270"/>
      <c r="N449" s="270"/>
      <c r="O449" s="270"/>
      <c r="P449" s="270"/>
      <c r="Q449" s="270"/>
      <c r="R449" s="270"/>
      <c r="S449" s="270"/>
      <c r="T449" s="270"/>
      <c r="U449" s="270"/>
      <c r="V449" s="270"/>
      <c r="W449" s="270"/>
      <c r="X449" s="270"/>
      <c r="Y449" s="270"/>
      <c r="Z449" s="270"/>
    </row>
    <row r="450" spans="1:26" ht="15.75" customHeight="1">
      <c r="A450" s="270"/>
      <c r="B450" s="270"/>
      <c r="C450" s="270"/>
      <c r="D450" s="678"/>
      <c r="E450" s="270"/>
      <c r="F450" s="270"/>
      <c r="G450" s="270"/>
      <c r="H450" s="270"/>
      <c r="I450" s="270"/>
      <c r="J450" s="270"/>
      <c r="K450" s="270"/>
      <c r="L450" s="270"/>
      <c r="M450" s="270"/>
      <c r="N450" s="270"/>
      <c r="O450" s="270"/>
      <c r="P450" s="270"/>
      <c r="Q450" s="270"/>
      <c r="R450" s="270"/>
      <c r="S450" s="270"/>
      <c r="T450" s="270"/>
      <c r="U450" s="270"/>
      <c r="V450" s="270"/>
      <c r="W450" s="270"/>
      <c r="X450" s="270"/>
      <c r="Y450" s="270"/>
      <c r="Z450" s="270"/>
    </row>
    <row r="451" spans="1:26" ht="15.75" customHeight="1">
      <c r="A451" s="270"/>
      <c r="B451" s="270"/>
      <c r="C451" s="270"/>
      <c r="D451" s="678"/>
      <c r="E451" s="270"/>
      <c r="F451" s="270"/>
      <c r="G451" s="270"/>
      <c r="H451" s="270"/>
      <c r="I451" s="270"/>
      <c r="J451" s="270"/>
      <c r="K451" s="270"/>
      <c r="L451" s="270"/>
      <c r="M451" s="270"/>
      <c r="N451" s="270"/>
      <c r="O451" s="270"/>
      <c r="P451" s="270"/>
      <c r="Q451" s="270"/>
      <c r="R451" s="270"/>
      <c r="S451" s="270"/>
      <c r="T451" s="270"/>
      <c r="U451" s="270"/>
      <c r="V451" s="270"/>
      <c r="W451" s="270"/>
      <c r="X451" s="270"/>
      <c r="Y451" s="270"/>
      <c r="Z451" s="270"/>
    </row>
    <row r="452" spans="1:26" ht="15.75" customHeight="1">
      <c r="A452" s="270"/>
      <c r="B452" s="270"/>
      <c r="C452" s="270"/>
      <c r="D452" s="678"/>
      <c r="E452" s="270"/>
      <c r="F452" s="270"/>
      <c r="G452" s="270"/>
      <c r="H452" s="270"/>
      <c r="I452" s="270"/>
      <c r="J452" s="270"/>
      <c r="K452" s="270"/>
      <c r="L452" s="270"/>
      <c r="M452" s="270"/>
      <c r="N452" s="270"/>
      <c r="O452" s="270"/>
      <c r="P452" s="270"/>
      <c r="Q452" s="270"/>
      <c r="R452" s="270"/>
      <c r="S452" s="270"/>
      <c r="T452" s="270"/>
      <c r="U452" s="270"/>
      <c r="V452" s="270"/>
      <c r="W452" s="270"/>
      <c r="X452" s="270"/>
      <c r="Y452" s="270"/>
      <c r="Z452" s="270"/>
    </row>
    <row r="453" spans="1:26" ht="15.75" customHeight="1">
      <c r="A453" s="270"/>
      <c r="B453" s="270"/>
      <c r="C453" s="270"/>
      <c r="D453" s="678"/>
      <c r="E453" s="270"/>
      <c r="F453" s="270"/>
      <c r="G453" s="270"/>
      <c r="H453" s="270"/>
      <c r="I453" s="270"/>
      <c r="J453" s="270"/>
      <c r="K453" s="270"/>
      <c r="L453" s="270"/>
      <c r="M453" s="270"/>
      <c r="N453" s="270"/>
      <c r="O453" s="270"/>
      <c r="P453" s="270"/>
      <c r="Q453" s="270"/>
      <c r="R453" s="270"/>
      <c r="S453" s="270"/>
      <c r="T453" s="270"/>
      <c r="U453" s="270"/>
      <c r="V453" s="270"/>
      <c r="W453" s="270"/>
      <c r="X453" s="270"/>
      <c r="Y453" s="270"/>
      <c r="Z453" s="270"/>
    </row>
    <row r="454" spans="1:26" ht="15.75" customHeight="1">
      <c r="A454" s="270"/>
      <c r="B454" s="270"/>
      <c r="C454" s="270"/>
      <c r="D454" s="678"/>
      <c r="E454" s="270"/>
      <c r="F454" s="270"/>
      <c r="G454" s="270"/>
      <c r="H454" s="270"/>
      <c r="I454" s="270"/>
      <c r="J454" s="270"/>
      <c r="K454" s="270"/>
      <c r="L454" s="270"/>
      <c r="M454" s="270"/>
      <c r="N454" s="270"/>
      <c r="O454" s="270"/>
      <c r="P454" s="270"/>
      <c r="Q454" s="270"/>
      <c r="R454" s="270"/>
      <c r="S454" s="270"/>
      <c r="T454" s="270"/>
      <c r="U454" s="270"/>
      <c r="V454" s="270"/>
      <c r="W454" s="270"/>
      <c r="X454" s="270"/>
      <c r="Y454" s="270"/>
      <c r="Z454" s="270"/>
    </row>
    <row r="455" spans="1:26" ht="15.75" customHeight="1">
      <c r="A455" s="270"/>
      <c r="B455" s="270"/>
      <c r="C455" s="270"/>
      <c r="D455" s="678"/>
      <c r="E455" s="270"/>
      <c r="F455" s="270"/>
      <c r="G455" s="270"/>
      <c r="H455" s="270"/>
      <c r="I455" s="270"/>
      <c r="J455" s="270"/>
      <c r="K455" s="270"/>
      <c r="L455" s="270"/>
      <c r="M455" s="270"/>
      <c r="N455" s="270"/>
      <c r="O455" s="270"/>
      <c r="P455" s="270"/>
      <c r="Q455" s="270"/>
      <c r="R455" s="270"/>
      <c r="S455" s="270"/>
      <c r="T455" s="270"/>
      <c r="U455" s="270"/>
      <c r="V455" s="270"/>
      <c r="W455" s="270"/>
      <c r="X455" s="270"/>
      <c r="Y455" s="270"/>
      <c r="Z455" s="270"/>
    </row>
    <row r="456" spans="1:26" ht="15.75" customHeight="1">
      <c r="A456" s="270"/>
      <c r="B456" s="270"/>
      <c r="C456" s="270"/>
      <c r="D456" s="678"/>
      <c r="E456" s="270"/>
      <c r="F456" s="270"/>
      <c r="G456" s="270"/>
      <c r="H456" s="270"/>
      <c r="I456" s="270"/>
      <c r="J456" s="270"/>
      <c r="K456" s="270"/>
      <c r="L456" s="270"/>
      <c r="M456" s="270"/>
      <c r="N456" s="270"/>
      <c r="O456" s="270"/>
      <c r="P456" s="270"/>
      <c r="Q456" s="270"/>
      <c r="R456" s="270"/>
      <c r="S456" s="270"/>
      <c r="T456" s="270"/>
      <c r="U456" s="270"/>
      <c r="V456" s="270"/>
      <c r="W456" s="270"/>
      <c r="X456" s="270"/>
      <c r="Y456" s="270"/>
      <c r="Z456" s="270"/>
    </row>
    <row r="457" spans="1:26" ht="15.75" customHeight="1">
      <c r="A457" s="270"/>
      <c r="B457" s="270"/>
      <c r="C457" s="270"/>
      <c r="D457" s="678"/>
      <c r="E457" s="270"/>
      <c r="F457" s="270"/>
      <c r="G457" s="270"/>
      <c r="H457" s="270"/>
      <c r="I457" s="270"/>
      <c r="J457" s="270"/>
      <c r="K457" s="270"/>
      <c r="L457" s="270"/>
      <c r="M457" s="270"/>
      <c r="N457" s="270"/>
      <c r="O457" s="270"/>
      <c r="P457" s="270"/>
      <c r="Q457" s="270"/>
      <c r="R457" s="270"/>
      <c r="S457" s="270"/>
      <c r="T457" s="270"/>
      <c r="U457" s="270"/>
      <c r="V457" s="270"/>
      <c r="W457" s="270"/>
      <c r="X457" s="270"/>
      <c r="Y457" s="270"/>
      <c r="Z457" s="270"/>
    </row>
    <row r="458" spans="1:26" ht="15.75" customHeight="1">
      <c r="A458" s="270"/>
      <c r="B458" s="270"/>
      <c r="C458" s="270"/>
      <c r="D458" s="678"/>
      <c r="E458" s="270"/>
      <c r="F458" s="270"/>
      <c r="G458" s="270"/>
      <c r="H458" s="270"/>
      <c r="I458" s="270"/>
      <c r="J458" s="270"/>
      <c r="K458" s="270"/>
      <c r="L458" s="270"/>
      <c r="M458" s="270"/>
      <c r="N458" s="270"/>
      <c r="O458" s="270"/>
      <c r="P458" s="270"/>
      <c r="Q458" s="270"/>
      <c r="R458" s="270"/>
      <c r="S458" s="270"/>
      <c r="T458" s="270"/>
      <c r="U458" s="270"/>
      <c r="V458" s="270"/>
      <c r="W458" s="270"/>
      <c r="X458" s="270"/>
      <c r="Y458" s="270"/>
      <c r="Z458" s="270"/>
    </row>
    <row r="459" spans="1:26" ht="15.75" customHeight="1">
      <c r="A459" s="270"/>
      <c r="B459" s="270"/>
      <c r="C459" s="270"/>
      <c r="D459" s="678"/>
      <c r="E459" s="270"/>
      <c r="F459" s="270"/>
      <c r="G459" s="270"/>
      <c r="H459" s="270"/>
      <c r="I459" s="270"/>
      <c r="J459" s="270"/>
      <c r="K459" s="270"/>
      <c r="L459" s="270"/>
      <c r="M459" s="270"/>
      <c r="N459" s="270"/>
      <c r="O459" s="270"/>
      <c r="P459" s="270"/>
      <c r="Q459" s="270"/>
      <c r="R459" s="270"/>
      <c r="S459" s="270"/>
      <c r="T459" s="270"/>
      <c r="U459" s="270"/>
      <c r="V459" s="270"/>
      <c r="W459" s="270"/>
      <c r="X459" s="270"/>
      <c r="Y459" s="270"/>
      <c r="Z459" s="270"/>
    </row>
    <row r="460" spans="1:26" ht="15.75" customHeight="1">
      <c r="A460" s="270"/>
      <c r="B460" s="270"/>
      <c r="C460" s="270"/>
      <c r="D460" s="678"/>
      <c r="E460" s="270"/>
      <c r="F460" s="270"/>
      <c r="G460" s="270"/>
      <c r="H460" s="270"/>
      <c r="I460" s="270"/>
      <c r="J460" s="270"/>
      <c r="K460" s="270"/>
      <c r="L460" s="270"/>
      <c r="M460" s="270"/>
      <c r="N460" s="270"/>
      <c r="O460" s="270"/>
      <c r="P460" s="270"/>
      <c r="Q460" s="270"/>
      <c r="R460" s="270"/>
      <c r="S460" s="270"/>
      <c r="T460" s="270"/>
      <c r="U460" s="270"/>
      <c r="V460" s="270"/>
      <c r="W460" s="270"/>
      <c r="X460" s="270"/>
      <c r="Y460" s="270"/>
      <c r="Z460" s="270"/>
    </row>
    <row r="461" spans="1:26" ht="15.75" customHeight="1">
      <c r="A461" s="270"/>
      <c r="B461" s="270"/>
      <c r="C461" s="270"/>
      <c r="D461" s="678"/>
      <c r="E461" s="270"/>
      <c r="F461" s="270"/>
      <c r="G461" s="270"/>
      <c r="H461" s="270"/>
      <c r="I461" s="270"/>
      <c r="J461" s="270"/>
      <c r="K461" s="270"/>
      <c r="L461" s="270"/>
      <c r="M461" s="270"/>
      <c r="N461" s="270"/>
      <c r="O461" s="270"/>
      <c r="P461" s="270"/>
      <c r="Q461" s="270"/>
      <c r="R461" s="270"/>
      <c r="S461" s="270"/>
      <c r="T461" s="270"/>
      <c r="U461" s="270"/>
      <c r="V461" s="270"/>
      <c r="W461" s="270"/>
      <c r="X461" s="270"/>
      <c r="Y461" s="270"/>
      <c r="Z461" s="270"/>
    </row>
    <row r="462" spans="1:26" ht="15.75" customHeight="1">
      <c r="A462" s="270"/>
      <c r="B462" s="270"/>
      <c r="C462" s="270"/>
      <c r="D462" s="678"/>
      <c r="E462" s="270"/>
      <c r="F462" s="270"/>
      <c r="G462" s="270"/>
      <c r="H462" s="270"/>
      <c r="I462" s="270"/>
      <c r="J462" s="270"/>
      <c r="K462" s="270"/>
      <c r="L462" s="270"/>
      <c r="M462" s="270"/>
      <c r="N462" s="270"/>
      <c r="O462" s="270"/>
      <c r="P462" s="270"/>
      <c r="Q462" s="270"/>
      <c r="R462" s="270"/>
      <c r="S462" s="270"/>
      <c r="T462" s="270"/>
      <c r="U462" s="270"/>
      <c r="V462" s="270"/>
      <c r="W462" s="270"/>
      <c r="X462" s="270"/>
      <c r="Y462" s="270"/>
      <c r="Z462" s="270"/>
    </row>
    <row r="463" spans="1:26" ht="15.75" customHeight="1">
      <c r="A463" s="270"/>
      <c r="B463" s="270"/>
      <c r="C463" s="270"/>
      <c r="D463" s="678"/>
      <c r="E463" s="270"/>
      <c r="F463" s="270"/>
      <c r="G463" s="270"/>
      <c r="H463" s="270"/>
      <c r="I463" s="270"/>
      <c r="J463" s="270"/>
      <c r="K463" s="270"/>
      <c r="L463" s="270"/>
      <c r="M463" s="270"/>
      <c r="N463" s="270"/>
      <c r="O463" s="270"/>
      <c r="P463" s="270"/>
      <c r="Q463" s="270"/>
      <c r="R463" s="270"/>
      <c r="S463" s="270"/>
      <c r="T463" s="270"/>
      <c r="U463" s="270"/>
      <c r="V463" s="270"/>
      <c r="W463" s="270"/>
      <c r="X463" s="270"/>
      <c r="Y463" s="270"/>
      <c r="Z463" s="270"/>
    </row>
    <row r="464" spans="1:26" ht="15.75" customHeight="1">
      <c r="A464" s="270"/>
      <c r="B464" s="270"/>
      <c r="C464" s="270"/>
      <c r="D464" s="678"/>
      <c r="E464" s="270"/>
      <c r="F464" s="270"/>
      <c r="G464" s="270"/>
      <c r="H464" s="270"/>
      <c r="I464" s="270"/>
      <c r="J464" s="270"/>
      <c r="K464" s="270"/>
      <c r="L464" s="270"/>
      <c r="M464" s="270"/>
      <c r="N464" s="270"/>
      <c r="O464" s="270"/>
      <c r="P464" s="270"/>
      <c r="Q464" s="270"/>
      <c r="R464" s="270"/>
      <c r="S464" s="270"/>
      <c r="T464" s="270"/>
      <c r="U464" s="270"/>
      <c r="V464" s="270"/>
      <c r="W464" s="270"/>
      <c r="X464" s="270"/>
      <c r="Y464" s="270"/>
      <c r="Z464" s="270"/>
    </row>
    <row r="465" spans="1:26" ht="15.75" customHeight="1">
      <c r="A465" s="270"/>
      <c r="B465" s="270"/>
      <c r="C465" s="270"/>
      <c r="D465" s="678"/>
      <c r="E465" s="270"/>
      <c r="F465" s="270"/>
      <c r="G465" s="270"/>
      <c r="H465" s="270"/>
      <c r="I465" s="270"/>
      <c r="J465" s="270"/>
      <c r="K465" s="270"/>
      <c r="L465" s="270"/>
      <c r="M465" s="270"/>
      <c r="N465" s="270"/>
      <c r="O465" s="270"/>
      <c r="P465" s="270"/>
      <c r="Q465" s="270"/>
      <c r="R465" s="270"/>
      <c r="S465" s="270"/>
      <c r="T465" s="270"/>
      <c r="U465" s="270"/>
      <c r="V465" s="270"/>
      <c r="W465" s="270"/>
      <c r="X465" s="270"/>
      <c r="Y465" s="270"/>
      <c r="Z465" s="270"/>
    </row>
    <row r="466" spans="1:26" ht="15.75" customHeight="1">
      <c r="A466" s="270"/>
      <c r="B466" s="270"/>
      <c r="C466" s="270"/>
      <c r="D466" s="678"/>
      <c r="E466" s="270"/>
      <c r="F466" s="270"/>
      <c r="G466" s="270"/>
      <c r="H466" s="270"/>
      <c r="I466" s="270"/>
      <c r="J466" s="270"/>
      <c r="K466" s="270"/>
      <c r="L466" s="270"/>
      <c r="M466" s="270"/>
      <c r="N466" s="270"/>
      <c r="O466" s="270"/>
      <c r="P466" s="270"/>
      <c r="Q466" s="270"/>
      <c r="R466" s="270"/>
      <c r="S466" s="270"/>
      <c r="T466" s="270"/>
      <c r="U466" s="270"/>
      <c r="V466" s="270"/>
      <c r="W466" s="270"/>
      <c r="X466" s="270"/>
      <c r="Y466" s="270"/>
      <c r="Z466" s="270"/>
    </row>
    <row r="467" spans="1:26" ht="15.75" customHeight="1">
      <c r="A467" s="270"/>
      <c r="B467" s="270"/>
      <c r="C467" s="270"/>
      <c r="D467" s="678"/>
      <c r="E467" s="270"/>
      <c r="F467" s="270"/>
      <c r="G467" s="270"/>
      <c r="H467" s="270"/>
      <c r="I467" s="270"/>
      <c r="J467" s="270"/>
      <c r="K467" s="270"/>
      <c r="L467" s="270"/>
      <c r="M467" s="270"/>
      <c r="N467" s="270"/>
      <c r="O467" s="270"/>
      <c r="P467" s="270"/>
      <c r="Q467" s="270"/>
      <c r="R467" s="270"/>
      <c r="S467" s="270"/>
      <c r="T467" s="270"/>
      <c r="U467" s="270"/>
      <c r="V467" s="270"/>
      <c r="W467" s="270"/>
      <c r="X467" s="270"/>
      <c r="Y467" s="270"/>
      <c r="Z467" s="270"/>
    </row>
    <row r="468" spans="1:26" ht="15.75" customHeight="1">
      <c r="A468" s="270"/>
      <c r="B468" s="270"/>
      <c r="C468" s="270"/>
      <c r="D468" s="678"/>
      <c r="E468" s="270"/>
      <c r="F468" s="270"/>
      <c r="G468" s="270"/>
      <c r="H468" s="270"/>
      <c r="I468" s="270"/>
      <c r="J468" s="270"/>
      <c r="K468" s="270"/>
      <c r="L468" s="270"/>
      <c r="M468" s="270"/>
      <c r="N468" s="270"/>
      <c r="O468" s="270"/>
      <c r="P468" s="270"/>
      <c r="Q468" s="270"/>
      <c r="R468" s="270"/>
      <c r="S468" s="270"/>
      <c r="T468" s="270"/>
      <c r="U468" s="270"/>
      <c r="V468" s="270"/>
      <c r="W468" s="270"/>
      <c r="X468" s="270"/>
      <c r="Y468" s="270"/>
      <c r="Z468" s="270"/>
    </row>
    <row r="469" spans="1:26" ht="15.75" customHeight="1">
      <c r="A469" s="270"/>
      <c r="B469" s="270"/>
      <c r="C469" s="270"/>
      <c r="D469" s="678"/>
      <c r="E469" s="270"/>
      <c r="F469" s="270"/>
      <c r="G469" s="270"/>
      <c r="H469" s="270"/>
      <c r="I469" s="270"/>
      <c r="J469" s="270"/>
      <c r="K469" s="270"/>
      <c r="L469" s="270"/>
      <c r="M469" s="270"/>
      <c r="N469" s="270"/>
      <c r="O469" s="270"/>
      <c r="P469" s="270"/>
      <c r="Q469" s="270"/>
      <c r="R469" s="270"/>
      <c r="S469" s="270"/>
      <c r="T469" s="270"/>
      <c r="U469" s="270"/>
      <c r="V469" s="270"/>
      <c r="W469" s="270"/>
      <c r="X469" s="270"/>
      <c r="Y469" s="270"/>
      <c r="Z469" s="270"/>
    </row>
    <row r="470" spans="1:26" ht="15.75" customHeight="1">
      <c r="A470" s="270"/>
      <c r="B470" s="270"/>
      <c r="C470" s="270"/>
      <c r="D470" s="678"/>
      <c r="E470" s="270"/>
      <c r="F470" s="270"/>
      <c r="G470" s="270"/>
      <c r="H470" s="270"/>
      <c r="I470" s="270"/>
      <c r="J470" s="270"/>
      <c r="K470" s="270"/>
      <c r="L470" s="270"/>
      <c r="M470" s="270"/>
      <c r="N470" s="270"/>
      <c r="O470" s="270"/>
      <c r="P470" s="270"/>
      <c r="Q470" s="270"/>
      <c r="R470" s="270"/>
      <c r="S470" s="270"/>
      <c r="T470" s="270"/>
      <c r="U470" s="270"/>
      <c r="V470" s="270"/>
      <c r="W470" s="270"/>
      <c r="X470" s="270"/>
      <c r="Y470" s="270"/>
      <c r="Z470" s="270"/>
    </row>
    <row r="471" spans="1:26" ht="15.75" customHeight="1">
      <c r="A471" s="270"/>
      <c r="B471" s="270"/>
      <c r="C471" s="270"/>
      <c r="D471" s="678"/>
      <c r="E471" s="270"/>
      <c r="F471" s="270"/>
      <c r="G471" s="270"/>
      <c r="H471" s="270"/>
      <c r="I471" s="270"/>
      <c r="J471" s="270"/>
      <c r="K471" s="270"/>
      <c r="L471" s="270"/>
      <c r="M471" s="270"/>
      <c r="N471" s="270"/>
      <c r="O471" s="270"/>
      <c r="P471" s="270"/>
      <c r="Q471" s="270"/>
      <c r="R471" s="270"/>
      <c r="S471" s="270"/>
      <c r="T471" s="270"/>
      <c r="U471" s="270"/>
      <c r="V471" s="270"/>
      <c r="W471" s="270"/>
      <c r="X471" s="270"/>
      <c r="Y471" s="270"/>
      <c r="Z471" s="270"/>
    </row>
    <row r="472" spans="1:26" ht="15.75" customHeight="1">
      <c r="A472" s="270"/>
      <c r="B472" s="270"/>
      <c r="C472" s="270"/>
      <c r="D472" s="678"/>
      <c r="E472" s="270"/>
      <c r="F472" s="270"/>
      <c r="G472" s="270"/>
      <c r="H472" s="270"/>
      <c r="I472" s="270"/>
      <c r="J472" s="270"/>
      <c r="K472" s="270"/>
      <c r="L472" s="270"/>
      <c r="M472" s="270"/>
      <c r="N472" s="270"/>
      <c r="O472" s="270"/>
      <c r="P472" s="270"/>
      <c r="Q472" s="270"/>
      <c r="R472" s="270"/>
      <c r="S472" s="270"/>
      <c r="T472" s="270"/>
      <c r="U472" s="270"/>
      <c r="V472" s="270"/>
      <c r="W472" s="270"/>
      <c r="X472" s="270"/>
      <c r="Y472" s="270"/>
      <c r="Z472" s="270"/>
    </row>
    <row r="473" spans="1:26" ht="15.75" customHeight="1">
      <c r="A473" s="270"/>
      <c r="B473" s="270"/>
      <c r="C473" s="270"/>
      <c r="D473" s="678"/>
      <c r="E473" s="270"/>
      <c r="F473" s="270"/>
      <c r="G473" s="270"/>
      <c r="H473" s="270"/>
      <c r="I473" s="270"/>
      <c r="J473" s="270"/>
      <c r="K473" s="270"/>
      <c r="L473" s="270"/>
      <c r="M473" s="270"/>
      <c r="N473" s="270"/>
      <c r="O473" s="270"/>
      <c r="P473" s="270"/>
      <c r="Q473" s="270"/>
      <c r="R473" s="270"/>
      <c r="S473" s="270"/>
      <c r="T473" s="270"/>
      <c r="U473" s="270"/>
      <c r="V473" s="270"/>
      <c r="W473" s="270"/>
      <c r="X473" s="270"/>
      <c r="Y473" s="270"/>
      <c r="Z473" s="270"/>
    </row>
    <row r="474" spans="1:26" ht="15.75" customHeight="1">
      <c r="A474" s="270"/>
      <c r="B474" s="270"/>
      <c r="C474" s="270"/>
      <c r="D474" s="678"/>
      <c r="E474" s="270"/>
      <c r="F474" s="270"/>
      <c r="G474" s="270"/>
      <c r="H474" s="270"/>
      <c r="I474" s="270"/>
      <c r="J474" s="270"/>
      <c r="K474" s="270"/>
      <c r="L474" s="270"/>
      <c r="M474" s="270"/>
      <c r="N474" s="270"/>
      <c r="O474" s="270"/>
      <c r="P474" s="270"/>
      <c r="Q474" s="270"/>
      <c r="R474" s="270"/>
      <c r="S474" s="270"/>
      <c r="T474" s="270"/>
      <c r="U474" s="270"/>
      <c r="V474" s="270"/>
      <c r="W474" s="270"/>
      <c r="X474" s="270"/>
      <c r="Y474" s="270"/>
      <c r="Z474" s="270"/>
    </row>
    <row r="475" spans="1:26" ht="15.75" customHeight="1">
      <c r="A475" s="270"/>
      <c r="B475" s="270"/>
      <c r="C475" s="270"/>
      <c r="D475" s="678"/>
      <c r="E475" s="270"/>
      <c r="F475" s="270"/>
      <c r="G475" s="270"/>
      <c r="H475" s="270"/>
      <c r="I475" s="270"/>
      <c r="J475" s="270"/>
      <c r="K475" s="270"/>
      <c r="L475" s="270"/>
      <c r="M475" s="270"/>
      <c r="N475" s="270"/>
      <c r="O475" s="270"/>
      <c r="P475" s="270"/>
      <c r="Q475" s="270"/>
      <c r="R475" s="270"/>
      <c r="S475" s="270"/>
      <c r="T475" s="270"/>
      <c r="U475" s="270"/>
      <c r="V475" s="270"/>
      <c r="W475" s="270"/>
      <c r="X475" s="270"/>
      <c r="Y475" s="270"/>
      <c r="Z475" s="270"/>
    </row>
    <row r="476" spans="1:26" ht="15.75" customHeight="1">
      <c r="A476" s="270"/>
      <c r="B476" s="270"/>
      <c r="C476" s="270"/>
      <c r="D476" s="678"/>
      <c r="E476" s="270"/>
      <c r="F476" s="270"/>
      <c r="G476" s="270"/>
      <c r="H476" s="270"/>
      <c r="I476" s="270"/>
      <c r="J476" s="270"/>
      <c r="K476" s="270"/>
      <c r="L476" s="270"/>
      <c r="M476" s="270"/>
      <c r="N476" s="270"/>
      <c r="O476" s="270"/>
      <c r="P476" s="270"/>
      <c r="Q476" s="270"/>
      <c r="R476" s="270"/>
      <c r="S476" s="270"/>
      <c r="T476" s="270"/>
      <c r="U476" s="270"/>
      <c r="V476" s="270"/>
      <c r="W476" s="270"/>
      <c r="X476" s="270"/>
      <c r="Y476" s="270"/>
      <c r="Z476" s="270"/>
    </row>
    <row r="477" spans="1:26" ht="15.75" customHeight="1">
      <c r="A477" s="270"/>
      <c r="B477" s="270"/>
      <c r="C477" s="270"/>
      <c r="D477" s="678"/>
      <c r="E477" s="270"/>
      <c r="F477" s="270"/>
      <c r="G477" s="270"/>
      <c r="H477" s="270"/>
      <c r="I477" s="270"/>
      <c r="J477" s="270"/>
      <c r="K477" s="270"/>
      <c r="L477" s="270"/>
      <c r="M477" s="270"/>
      <c r="N477" s="270"/>
      <c r="O477" s="270"/>
      <c r="P477" s="270"/>
      <c r="Q477" s="270"/>
      <c r="R477" s="270"/>
      <c r="S477" s="270"/>
      <c r="T477" s="270"/>
      <c r="U477" s="270"/>
      <c r="V477" s="270"/>
      <c r="W477" s="270"/>
      <c r="X477" s="270"/>
      <c r="Y477" s="270"/>
      <c r="Z477" s="270"/>
    </row>
    <row r="478" spans="1:26" ht="15.75" customHeight="1">
      <c r="A478" s="270"/>
      <c r="B478" s="270"/>
      <c r="C478" s="270"/>
      <c r="D478" s="678"/>
      <c r="E478" s="270"/>
      <c r="F478" s="270"/>
      <c r="G478" s="270"/>
      <c r="H478" s="270"/>
      <c r="I478" s="270"/>
      <c r="J478" s="270"/>
      <c r="K478" s="270"/>
      <c r="L478" s="270"/>
      <c r="M478" s="270"/>
      <c r="N478" s="270"/>
      <c r="O478" s="270"/>
      <c r="P478" s="270"/>
      <c r="Q478" s="270"/>
      <c r="R478" s="270"/>
      <c r="S478" s="270"/>
      <c r="T478" s="270"/>
      <c r="U478" s="270"/>
      <c r="V478" s="270"/>
      <c r="W478" s="270"/>
      <c r="X478" s="270"/>
      <c r="Y478" s="270"/>
      <c r="Z478" s="270"/>
    </row>
    <row r="479" spans="1:26" ht="15.75" customHeight="1">
      <c r="A479" s="270"/>
      <c r="B479" s="270"/>
      <c r="C479" s="270"/>
      <c r="D479" s="678"/>
      <c r="E479" s="270"/>
      <c r="F479" s="270"/>
      <c r="G479" s="270"/>
      <c r="H479" s="270"/>
      <c r="I479" s="270"/>
      <c r="J479" s="270"/>
      <c r="K479" s="270"/>
      <c r="L479" s="270"/>
      <c r="M479" s="270"/>
      <c r="N479" s="270"/>
      <c r="O479" s="270"/>
      <c r="P479" s="270"/>
      <c r="Q479" s="270"/>
      <c r="R479" s="270"/>
      <c r="S479" s="270"/>
      <c r="T479" s="270"/>
      <c r="U479" s="270"/>
      <c r="V479" s="270"/>
      <c r="W479" s="270"/>
      <c r="X479" s="270"/>
      <c r="Y479" s="270"/>
      <c r="Z479" s="270"/>
    </row>
    <row r="480" spans="1:26" ht="15.75" customHeight="1">
      <c r="A480" s="270"/>
      <c r="B480" s="270"/>
      <c r="C480" s="270"/>
      <c r="D480" s="678"/>
      <c r="E480" s="270"/>
      <c r="F480" s="270"/>
      <c r="G480" s="270"/>
      <c r="H480" s="270"/>
      <c r="I480" s="270"/>
      <c r="J480" s="270"/>
      <c r="K480" s="270"/>
      <c r="L480" s="270"/>
      <c r="M480" s="270"/>
      <c r="N480" s="270"/>
      <c r="O480" s="270"/>
      <c r="P480" s="270"/>
      <c r="Q480" s="270"/>
      <c r="R480" s="270"/>
      <c r="S480" s="270"/>
      <c r="T480" s="270"/>
      <c r="U480" s="270"/>
      <c r="V480" s="270"/>
      <c r="W480" s="270"/>
      <c r="X480" s="270"/>
      <c r="Y480" s="270"/>
      <c r="Z480" s="270"/>
    </row>
    <row r="481" spans="1:26" ht="15.75" customHeight="1">
      <c r="A481" s="270"/>
      <c r="B481" s="270"/>
      <c r="C481" s="270"/>
      <c r="D481" s="678"/>
      <c r="E481" s="270"/>
      <c r="F481" s="270"/>
      <c r="G481" s="270"/>
      <c r="H481" s="270"/>
      <c r="I481" s="270"/>
      <c r="J481" s="270"/>
      <c r="K481" s="270"/>
      <c r="L481" s="270"/>
      <c r="M481" s="270"/>
      <c r="N481" s="270"/>
      <c r="O481" s="270"/>
      <c r="P481" s="270"/>
      <c r="Q481" s="270"/>
      <c r="R481" s="270"/>
      <c r="S481" s="270"/>
      <c r="T481" s="270"/>
      <c r="U481" s="270"/>
      <c r="V481" s="270"/>
      <c r="W481" s="270"/>
      <c r="X481" s="270"/>
      <c r="Y481" s="270"/>
      <c r="Z481" s="270"/>
    </row>
    <row r="482" spans="1:26" ht="15.75" customHeight="1">
      <c r="A482" s="270"/>
      <c r="B482" s="270"/>
      <c r="C482" s="270"/>
      <c r="D482" s="678"/>
      <c r="E482" s="270"/>
      <c r="F482" s="270"/>
      <c r="G482" s="270"/>
      <c r="H482" s="270"/>
      <c r="I482" s="270"/>
      <c r="J482" s="270"/>
      <c r="K482" s="270"/>
      <c r="L482" s="270"/>
      <c r="M482" s="270"/>
      <c r="N482" s="270"/>
      <c r="O482" s="270"/>
      <c r="P482" s="270"/>
      <c r="Q482" s="270"/>
      <c r="R482" s="270"/>
      <c r="S482" s="270"/>
      <c r="T482" s="270"/>
      <c r="U482" s="270"/>
      <c r="V482" s="270"/>
      <c r="W482" s="270"/>
      <c r="X482" s="270"/>
      <c r="Y482" s="270"/>
      <c r="Z482" s="270"/>
    </row>
    <row r="483" spans="1:26" ht="15.75" customHeight="1">
      <c r="A483" s="270"/>
      <c r="B483" s="270"/>
      <c r="C483" s="270"/>
      <c r="D483" s="678"/>
      <c r="E483" s="270"/>
      <c r="F483" s="270"/>
      <c r="G483" s="270"/>
      <c r="H483" s="270"/>
      <c r="I483" s="270"/>
      <c r="J483" s="270"/>
      <c r="K483" s="270"/>
      <c r="L483" s="270"/>
      <c r="M483" s="270"/>
      <c r="N483" s="270"/>
      <c r="O483" s="270"/>
      <c r="P483" s="270"/>
      <c r="Q483" s="270"/>
      <c r="R483" s="270"/>
      <c r="S483" s="270"/>
      <c r="T483" s="270"/>
      <c r="U483" s="270"/>
      <c r="V483" s="270"/>
      <c r="W483" s="270"/>
      <c r="X483" s="270"/>
      <c r="Y483" s="270"/>
      <c r="Z483" s="270"/>
    </row>
    <row r="484" spans="1:26" ht="15.75" customHeight="1">
      <c r="A484" s="270"/>
      <c r="B484" s="270"/>
      <c r="C484" s="270"/>
      <c r="D484" s="678"/>
      <c r="E484" s="270"/>
      <c r="F484" s="270"/>
      <c r="G484" s="270"/>
      <c r="H484" s="270"/>
      <c r="I484" s="270"/>
      <c r="J484" s="270"/>
      <c r="K484" s="270"/>
      <c r="L484" s="270"/>
      <c r="M484" s="270"/>
      <c r="N484" s="270"/>
      <c r="O484" s="270"/>
      <c r="P484" s="270"/>
      <c r="Q484" s="270"/>
      <c r="R484" s="270"/>
      <c r="S484" s="270"/>
      <c r="T484" s="270"/>
      <c r="U484" s="270"/>
      <c r="V484" s="270"/>
      <c r="W484" s="270"/>
      <c r="X484" s="270"/>
      <c r="Y484" s="270"/>
      <c r="Z484" s="270"/>
    </row>
    <row r="485" spans="1:26" ht="15.75" customHeight="1">
      <c r="A485" s="270"/>
      <c r="B485" s="270"/>
      <c r="C485" s="270"/>
      <c r="D485" s="678"/>
      <c r="E485" s="270"/>
      <c r="F485" s="270"/>
      <c r="G485" s="270"/>
      <c r="H485" s="270"/>
      <c r="I485" s="270"/>
      <c r="J485" s="270"/>
      <c r="K485" s="270"/>
      <c r="L485" s="270"/>
      <c r="M485" s="270"/>
      <c r="N485" s="270"/>
      <c r="O485" s="270"/>
      <c r="P485" s="270"/>
      <c r="Q485" s="270"/>
      <c r="R485" s="270"/>
      <c r="S485" s="270"/>
      <c r="T485" s="270"/>
      <c r="U485" s="270"/>
      <c r="V485" s="270"/>
      <c r="W485" s="270"/>
      <c r="X485" s="270"/>
      <c r="Y485" s="270"/>
      <c r="Z485" s="270"/>
    </row>
    <row r="486" spans="1:26" ht="15.75" customHeight="1">
      <c r="A486" s="270"/>
      <c r="B486" s="270"/>
      <c r="C486" s="270"/>
      <c r="D486" s="678"/>
      <c r="E486" s="270"/>
      <c r="F486" s="270"/>
      <c r="G486" s="270"/>
      <c r="H486" s="270"/>
      <c r="I486" s="270"/>
      <c r="J486" s="270"/>
      <c r="K486" s="270"/>
      <c r="L486" s="270"/>
      <c r="M486" s="270"/>
      <c r="N486" s="270"/>
      <c r="O486" s="270"/>
      <c r="P486" s="270"/>
      <c r="Q486" s="270"/>
      <c r="R486" s="270"/>
      <c r="S486" s="270"/>
      <c r="T486" s="270"/>
      <c r="U486" s="270"/>
      <c r="V486" s="270"/>
      <c r="W486" s="270"/>
      <c r="X486" s="270"/>
      <c r="Y486" s="270"/>
      <c r="Z486" s="270"/>
    </row>
    <row r="487" spans="1:26" ht="15.75" customHeight="1">
      <c r="A487" s="270"/>
      <c r="B487" s="270"/>
      <c r="C487" s="270"/>
      <c r="D487" s="678"/>
      <c r="E487" s="270"/>
      <c r="F487" s="270"/>
      <c r="G487" s="270"/>
      <c r="H487" s="270"/>
      <c r="I487" s="270"/>
      <c r="J487" s="270"/>
      <c r="K487" s="270"/>
      <c r="L487" s="270"/>
      <c r="M487" s="270"/>
      <c r="N487" s="270"/>
      <c r="O487" s="270"/>
      <c r="P487" s="270"/>
      <c r="Q487" s="270"/>
      <c r="R487" s="270"/>
      <c r="S487" s="270"/>
      <c r="T487" s="270"/>
      <c r="U487" s="270"/>
      <c r="V487" s="270"/>
      <c r="W487" s="270"/>
      <c r="X487" s="270"/>
      <c r="Y487" s="270"/>
      <c r="Z487" s="270"/>
    </row>
    <row r="488" spans="1:26" ht="15.75" customHeight="1">
      <c r="A488" s="270"/>
      <c r="B488" s="270"/>
      <c r="C488" s="270"/>
      <c r="D488" s="678"/>
      <c r="E488" s="270"/>
      <c r="F488" s="270"/>
      <c r="G488" s="270"/>
      <c r="H488" s="270"/>
      <c r="I488" s="270"/>
      <c r="J488" s="270"/>
      <c r="K488" s="270"/>
      <c r="L488" s="270"/>
      <c r="M488" s="270"/>
      <c r="N488" s="270"/>
      <c r="O488" s="270"/>
      <c r="P488" s="270"/>
      <c r="Q488" s="270"/>
      <c r="R488" s="270"/>
      <c r="S488" s="270"/>
      <c r="T488" s="270"/>
      <c r="U488" s="270"/>
      <c r="V488" s="270"/>
      <c r="W488" s="270"/>
      <c r="X488" s="270"/>
      <c r="Y488" s="270"/>
      <c r="Z488" s="270"/>
    </row>
    <row r="489" spans="1:26" ht="15.75" customHeight="1">
      <c r="A489" s="270"/>
      <c r="B489" s="270"/>
      <c r="C489" s="270"/>
      <c r="D489" s="678"/>
      <c r="E489" s="270"/>
      <c r="F489" s="270"/>
      <c r="G489" s="270"/>
      <c r="H489" s="270"/>
      <c r="I489" s="270"/>
      <c r="J489" s="270"/>
      <c r="K489" s="270"/>
      <c r="L489" s="270"/>
      <c r="M489" s="270"/>
      <c r="N489" s="270"/>
      <c r="O489" s="270"/>
      <c r="P489" s="270"/>
      <c r="Q489" s="270"/>
      <c r="R489" s="270"/>
      <c r="S489" s="270"/>
      <c r="T489" s="270"/>
      <c r="U489" s="270"/>
      <c r="V489" s="270"/>
      <c r="W489" s="270"/>
      <c r="X489" s="270"/>
      <c r="Y489" s="270"/>
      <c r="Z489" s="270"/>
    </row>
    <row r="490" spans="1:26" ht="15.75" customHeight="1">
      <c r="A490" s="270"/>
      <c r="B490" s="270"/>
      <c r="C490" s="270"/>
      <c r="D490" s="678"/>
      <c r="E490" s="270"/>
      <c r="F490" s="270"/>
      <c r="G490" s="270"/>
      <c r="H490" s="270"/>
      <c r="I490" s="270"/>
      <c r="J490" s="270"/>
      <c r="K490" s="270"/>
      <c r="L490" s="270"/>
      <c r="M490" s="270"/>
      <c r="N490" s="270"/>
      <c r="O490" s="270"/>
      <c r="P490" s="270"/>
      <c r="Q490" s="270"/>
      <c r="R490" s="270"/>
      <c r="S490" s="270"/>
      <c r="T490" s="270"/>
      <c r="U490" s="270"/>
      <c r="V490" s="270"/>
      <c r="W490" s="270"/>
      <c r="X490" s="270"/>
      <c r="Y490" s="270"/>
      <c r="Z490" s="270"/>
    </row>
    <row r="491" spans="1:26" ht="15.75" customHeight="1">
      <c r="A491" s="270"/>
      <c r="B491" s="270"/>
      <c r="C491" s="270"/>
      <c r="D491" s="678"/>
      <c r="E491" s="270"/>
      <c r="F491" s="270"/>
      <c r="G491" s="270"/>
      <c r="H491" s="270"/>
      <c r="I491" s="270"/>
      <c r="J491" s="270"/>
      <c r="K491" s="270"/>
      <c r="L491" s="270"/>
      <c r="M491" s="270"/>
      <c r="N491" s="270"/>
      <c r="O491" s="270"/>
      <c r="P491" s="270"/>
      <c r="Q491" s="270"/>
      <c r="R491" s="270"/>
      <c r="S491" s="270"/>
      <c r="T491" s="270"/>
      <c r="U491" s="270"/>
      <c r="V491" s="270"/>
      <c r="W491" s="270"/>
      <c r="X491" s="270"/>
      <c r="Y491" s="270"/>
      <c r="Z491" s="270"/>
    </row>
    <row r="492" spans="1:26" ht="15.75" customHeight="1">
      <c r="A492" s="270"/>
      <c r="B492" s="270"/>
      <c r="C492" s="270"/>
      <c r="D492" s="678"/>
      <c r="E492" s="270"/>
      <c r="F492" s="270"/>
      <c r="G492" s="270"/>
      <c r="H492" s="270"/>
      <c r="I492" s="270"/>
      <c r="J492" s="270"/>
      <c r="K492" s="270"/>
      <c r="L492" s="270"/>
      <c r="M492" s="270"/>
      <c r="N492" s="270"/>
      <c r="O492" s="270"/>
      <c r="P492" s="270"/>
      <c r="Q492" s="270"/>
      <c r="R492" s="270"/>
      <c r="S492" s="270"/>
      <c r="T492" s="270"/>
      <c r="U492" s="270"/>
      <c r="V492" s="270"/>
      <c r="W492" s="270"/>
      <c r="X492" s="270"/>
      <c r="Y492" s="270"/>
      <c r="Z492" s="270"/>
    </row>
    <row r="493" spans="1:26" ht="15.75" customHeight="1">
      <c r="A493" s="270"/>
      <c r="B493" s="270"/>
      <c r="C493" s="270"/>
      <c r="D493" s="678"/>
      <c r="E493" s="270"/>
      <c r="F493" s="270"/>
      <c r="G493" s="270"/>
      <c r="H493" s="270"/>
      <c r="I493" s="270"/>
      <c r="J493" s="270"/>
      <c r="K493" s="270"/>
      <c r="L493" s="270"/>
      <c r="M493" s="270"/>
      <c r="N493" s="270"/>
      <c r="O493" s="270"/>
      <c r="P493" s="270"/>
      <c r="Q493" s="270"/>
      <c r="R493" s="270"/>
      <c r="S493" s="270"/>
      <c r="T493" s="270"/>
      <c r="U493" s="270"/>
      <c r="V493" s="270"/>
      <c r="W493" s="270"/>
      <c r="X493" s="270"/>
      <c r="Y493" s="270"/>
      <c r="Z493" s="270"/>
    </row>
    <row r="494" spans="1:26" ht="15.75" customHeight="1">
      <c r="A494" s="270"/>
      <c r="B494" s="270"/>
      <c r="C494" s="270"/>
      <c r="D494" s="678"/>
      <c r="E494" s="270"/>
      <c r="F494" s="270"/>
      <c r="G494" s="270"/>
      <c r="H494" s="270"/>
      <c r="I494" s="270"/>
      <c r="J494" s="270"/>
      <c r="K494" s="270"/>
      <c r="L494" s="270"/>
      <c r="M494" s="270"/>
      <c r="N494" s="270"/>
      <c r="O494" s="270"/>
      <c r="P494" s="270"/>
      <c r="Q494" s="270"/>
      <c r="R494" s="270"/>
      <c r="S494" s="270"/>
      <c r="T494" s="270"/>
      <c r="U494" s="270"/>
      <c r="V494" s="270"/>
      <c r="W494" s="270"/>
      <c r="X494" s="270"/>
      <c r="Y494" s="270"/>
      <c r="Z494" s="270"/>
    </row>
    <row r="495" spans="1:26" ht="15.75" customHeight="1">
      <c r="A495" s="270"/>
      <c r="B495" s="270"/>
      <c r="C495" s="270"/>
      <c r="D495" s="678"/>
      <c r="E495" s="270"/>
      <c r="F495" s="270"/>
      <c r="G495" s="270"/>
      <c r="H495" s="270"/>
      <c r="I495" s="270"/>
      <c r="J495" s="270"/>
      <c r="K495" s="270"/>
      <c r="L495" s="270"/>
      <c r="M495" s="270"/>
      <c r="N495" s="270"/>
      <c r="O495" s="270"/>
      <c r="P495" s="270"/>
      <c r="Q495" s="270"/>
      <c r="R495" s="270"/>
      <c r="S495" s="270"/>
      <c r="T495" s="270"/>
      <c r="U495" s="270"/>
      <c r="V495" s="270"/>
      <c r="W495" s="270"/>
      <c r="X495" s="270"/>
      <c r="Y495" s="270"/>
      <c r="Z495" s="270"/>
    </row>
    <row r="496" spans="1:26" ht="15.75" customHeight="1">
      <c r="A496" s="270"/>
      <c r="B496" s="270"/>
      <c r="C496" s="270"/>
      <c r="D496" s="678"/>
      <c r="E496" s="270"/>
      <c r="F496" s="270"/>
      <c r="G496" s="270"/>
      <c r="H496" s="270"/>
      <c r="I496" s="270"/>
      <c r="J496" s="270"/>
      <c r="K496" s="270"/>
      <c r="L496" s="270"/>
      <c r="M496" s="270"/>
      <c r="N496" s="270"/>
      <c r="O496" s="270"/>
      <c r="P496" s="270"/>
      <c r="Q496" s="270"/>
      <c r="R496" s="270"/>
      <c r="S496" s="270"/>
      <c r="T496" s="270"/>
      <c r="U496" s="270"/>
      <c r="V496" s="270"/>
      <c r="W496" s="270"/>
      <c r="X496" s="270"/>
      <c r="Y496" s="270"/>
      <c r="Z496" s="270"/>
    </row>
    <row r="497" spans="1:26" ht="15.75" customHeight="1">
      <c r="A497" s="270"/>
      <c r="B497" s="270"/>
      <c r="C497" s="270"/>
      <c r="D497" s="678"/>
      <c r="E497" s="270"/>
      <c r="F497" s="270"/>
      <c r="G497" s="270"/>
      <c r="H497" s="270"/>
      <c r="I497" s="270"/>
      <c r="J497" s="270"/>
      <c r="K497" s="270"/>
      <c r="L497" s="270"/>
      <c r="M497" s="270"/>
      <c r="N497" s="270"/>
      <c r="O497" s="270"/>
      <c r="P497" s="270"/>
      <c r="Q497" s="270"/>
      <c r="R497" s="270"/>
      <c r="S497" s="270"/>
      <c r="T497" s="270"/>
      <c r="U497" s="270"/>
      <c r="V497" s="270"/>
      <c r="W497" s="270"/>
      <c r="X497" s="270"/>
      <c r="Y497" s="270"/>
      <c r="Z497" s="270"/>
    </row>
    <row r="498" spans="1:26" ht="15.75" customHeight="1">
      <c r="A498" s="270"/>
      <c r="B498" s="270"/>
      <c r="C498" s="270"/>
      <c r="D498" s="678"/>
      <c r="E498" s="270"/>
      <c r="F498" s="270"/>
      <c r="G498" s="270"/>
      <c r="H498" s="270"/>
      <c r="I498" s="270"/>
      <c r="J498" s="270"/>
      <c r="K498" s="270"/>
      <c r="L498" s="270"/>
      <c r="M498" s="270"/>
      <c r="N498" s="270"/>
      <c r="O498" s="270"/>
      <c r="P498" s="270"/>
      <c r="Q498" s="270"/>
      <c r="R498" s="270"/>
      <c r="S498" s="270"/>
      <c r="T498" s="270"/>
      <c r="U498" s="270"/>
      <c r="V498" s="270"/>
      <c r="W498" s="270"/>
      <c r="X498" s="270"/>
      <c r="Y498" s="270"/>
      <c r="Z498" s="270"/>
    </row>
    <row r="499" spans="1:26" ht="15.75" customHeight="1">
      <c r="A499" s="270"/>
      <c r="B499" s="270"/>
      <c r="C499" s="270"/>
      <c r="D499" s="678"/>
      <c r="E499" s="270"/>
      <c r="F499" s="270"/>
      <c r="G499" s="270"/>
      <c r="H499" s="270"/>
      <c r="I499" s="270"/>
      <c r="J499" s="270"/>
      <c r="K499" s="270"/>
      <c r="L499" s="270"/>
      <c r="M499" s="270"/>
      <c r="N499" s="270"/>
      <c r="O499" s="270"/>
      <c r="P499" s="270"/>
      <c r="Q499" s="270"/>
      <c r="R499" s="270"/>
      <c r="S499" s="270"/>
      <c r="T499" s="270"/>
      <c r="U499" s="270"/>
      <c r="V499" s="270"/>
      <c r="W499" s="270"/>
      <c r="X499" s="270"/>
      <c r="Y499" s="270"/>
      <c r="Z499" s="270"/>
    </row>
    <row r="500" spans="1:26" ht="15.75" customHeight="1">
      <c r="A500" s="270"/>
      <c r="B500" s="270"/>
      <c r="C500" s="270"/>
      <c r="D500" s="678"/>
      <c r="E500" s="270"/>
      <c r="F500" s="270"/>
      <c r="G500" s="270"/>
      <c r="H500" s="270"/>
      <c r="I500" s="270"/>
      <c r="J500" s="270"/>
      <c r="K500" s="270"/>
      <c r="L500" s="270"/>
      <c r="M500" s="270"/>
      <c r="N500" s="270"/>
      <c r="O500" s="270"/>
      <c r="P500" s="270"/>
      <c r="Q500" s="270"/>
      <c r="R500" s="270"/>
      <c r="S500" s="270"/>
      <c r="T500" s="270"/>
      <c r="U500" s="270"/>
      <c r="V500" s="270"/>
      <c r="W500" s="270"/>
      <c r="X500" s="270"/>
      <c r="Y500" s="270"/>
      <c r="Z500" s="270"/>
    </row>
    <row r="501" spans="1:26" ht="15.75" customHeight="1">
      <c r="A501" s="270"/>
      <c r="B501" s="270"/>
      <c r="C501" s="270"/>
      <c r="D501" s="678"/>
      <c r="E501" s="270"/>
      <c r="F501" s="270"/>
      <c r="G501" s="270"/>
      <c r="H501" s="270"/>
      <c r="I501" s="270"/>
      <c r="J501" s="270"/>
      <c r="K501" s="270"/>
      <c r="L501" s="270"/>
      <c r="M501" s="270"/>
      <c r="N501" s="270"/>
      <c r="O501" s="270"/>
      <c r="P501" s="270"/>
      <c r="Q501" s="270"/>
      <c r="R501" s="270"/>
      <c r="S501" s="270"/>
      <c r="T501" s="270"/>
      <c r="U501" s="270"/>
      <c r="V501" s="270"/>
      <c r="W501" s="270"/>
      <c r="X501" s="270"/>
      <c r="Y501" s="270"/>
      <c r="Z501" s="270"/>
    </row>
    <row r="502" spans="1:26" ht="15.75" customHeight="1">
      <c r="A502" s="270"/>
      <c r="B502" s="270"/>
      <c r="C502" s="270"/>
      <c r="D502" s="678"/>
      <c r="E502" s="270"/>
      <c r="F502" s="270"/>
      <c r="G502" s="270"/>
      <c r="H502" s="270"/>
      <c r="I502" s="270"/>
      <c r="J502" s="270"/>
      <c r="K502" s="270"/>
      <c r="L502" s="270"/>
      <c r="M502" s="270"/>
      <c r="N502" s="270"/>
      <c r="O502" s="270"/>
      <c r="P502" s="270"/>
      <c r="Q502" s="270"/>
      <c r="R502" s="270"/>
      <c r="S502" s="270"/>
      <c r="T502" s="270"/>
      <c r="U502" s="270"/>
      <c r="V502" s="270"/>
      <c r="W502" s="270"/>
      <c r="X502" s="270"/>
      <c r="Y502" s="270"/>
      <c r="Z502" s="270"/>
    </row>
    <row r="503" spans="1:26" ht="15.75" customHeight="1">
      <c r="A503" s="270"/>
      <c r="B503" s="270"/>
      <c r="C503" s="270"/>
      <c r="D503" s="678"/>
      <c r="E503" s="270"/>
      <c r="F503" s="270"/>
      <c r="G503" s="270"/>
      <c r="H503" s="270"/>
      <c r="I503" s="270"/>
      <c r="J503" s="270"/>
      <c r="K503" s="270"/>
      <c r="L503" s="270"/>
      <c r="M503" s="270"/>
      <c r="N503" s="270"/>
      <c r="O503" s="270"/>
      <c r="P503" s="270"/>
      <c r="Q503" s="270"/>
      <c r="R503" s="270"/>
      <c r="S503" s="270"/>
      <c r="T503" s="270"/>
      <c r="U503" s="270"/>
      <c r="V503" s="270"/>
      <c r="W503" s="270"/>
      <c r="X503" s="270"/>
      <c r="Y503" s="270"/>
      <c r="Z503" s="270"/>
    </row>
    <row r="504" spans="1:26" ht="15.75" customHeight="1">
      <c r="A504" s="270"/>
      <c r="B504" s="270"/>
      <c r="C504" s="270"/>
      <c r="D504" s="678"/>
      <c r="E504" s="270"/>
      <c r="F504" s="270"/>
      <c r="G504" s="270"/>
      <c r="H504" s="270"/>
      <c r="I504" s="270"/>
      <c r="J504" s="270"/>
      <c r="K504" s="270"/>
      <c r="L504" s="270"/>
      <c r="M504" s="270"/>
      <c r="N504" s="270"/>
      <c r="O504" s="270"/>
      <c r="P504" s="270"/>
      <c r="Q504" s="270"/>
      <c r="R504" s="270"/>
      <c r="S504" s="270"/>
      <c r="T504" s="270"/>
      <c r="U504" s="270"/>
      <c r="V504" s="270"/>
      <c r="W504" s="270"/>
      <c r="X504" s="270"/>
      <c r="Y504" s="270"/>
      <c r="Z504" s="270"/>
    </row>
    <row r="505" spans="1:26" ht="15.75" customHeight="1">
      <c r="A505" s="270"/>
      <c r="B505" s="270"/>
      <c r="C505" s="270"/>
      <c r="D505" s="678"/>
      <c r="E505" s="270"/>
      <c r="F505" s="270"/>
      <c r="G505" s="270"/>
      <c r="H505" s="270"/>
      <c r="I505" s="270"/>
      <c r="J505" s="270"/>
      <c r="K505" s="270"/>
      <c r="L505" s="270"/>
      <c r="M505" s="270"/>
      <c r="N505" s="270"/>
      <c r="O505" s="270"/>
      <c r="P505" s="270"/>
      <c r="Q505" s="270"/>
      <c r="R505" s="270"/>
      <c r="S505" s="270"/>
      <c r="T505" s="270"/>
      <c r="U505" s="270"/>
      <c r="V505" s="270"/>
      <c r="W505" s="270"/>
      <c r="X505" s="270"/>
      <c r="Y505" s="270"/>
      <c r="Z505" s="270"/>
    </row>
    <row r="506" spans="1:26" ht="15.75" customHeight="1">
      <c r="A506" s="270"/>
      <c r="B506" s="270"/>
      <c r="C506" s="270"/>
      <c r="D506" s="678"/>
      <c r="E506" s="270"/>
      <c r="F506" s="270"/>
      <c r="G506" s="270"/>
      <c r="H506" s="270"/>
      <c r="I506" s="270"/>
      <c r="J506" s="270"/>
      <c r="K506" s="270"/>
      <c r="L506" s="270"/>
      <c r="M506" s="270"/>
      <c r="N506" s="270"/>
      <c r="O506" s="270"/>
      <c r="P506" s="270"/>
      <c r="Q506" s="270"/>
      <c r="R506" s="270"/>
      <c r="S506" s="270"/>
      <c r="T506" s="270"/>
      <c r="U506" s="270"/>
      <c r="V506" s="270"/>
      <c r="W506" s="270"/>
      <c r="X506" s="270"/>
      <c r="Y506" s="270"/>
      <c r="Z506" s="270"/>
    </row>
    <row r="507" spans="1:26" ht="15.75" customHeight="1">
      <c r="A507" s="270"/>
      <c r="B507" s="270"/>
      <c r="C507" s="270"/>
      <c r="D507" s="678"/>
      <c r="E507" s="270"/>
      <c r="F507" s="270"/>
      <c r="G507" s="270"/>
      <c r="H507" s="270"/>
      <c r="I507" s="270"/>
      <c r="J507" s="270"/>
      <c r="K507" s="270"/>
      <c r="L507" s="270"/>
      <c r="M507" s="270"/>
      <c r="N507" s="270"/>
      <c r="O507" s="270"/>
      <c r="P507" s="270"/>
      <c r="Q507" s="270"/>
      <c r="R507" s="270"/>
      <c r="S507" s="270"/>
      <c r="T507" s="270"/>
      <c r="U507" s="270"/>
      <c r="V507" s="270"/>
      <c r="W507" s="270"/>
      <c r="X507" s="270"/>
      <c r="Y507" s="270"/>
      <c r="Z507" s="270"/>
    </row>
    <row r="508" spans="1:26" ht="15.75" customHeight="1">
      <c r="A508" s="270"/>
      <c r="B508" s="270"/>
      <c r="C508" s="270"/>
      <c r="D508" s="678"/>
      <c r="E508" s="270"/>
      <c r="F508" s="270"/>
      <c r="G508" s="270"/>
      <c r="H508" s="270"/>
      <c r="I508" s="270"/>
      <c r="J508" s="270"/>
      <c r="K508" s="270"/>
      <c r="L508" s="270"/>
      <c r="M508" s="270"/>
      <c r="N508" s="270"/>
      <c r="O508" s="270"/>
      <c r="P508" s="270"/>
      <c r="Q508" s="270"/>
      <c r="R508" s="270"/>
      <c r="S508" s="270"/>
      <c r="T508" s="270"/>
      <c r="U508" s="270"/>
      <c r="V508" s="270"/>
      <c r="W508" s="270"/>
      <c r="X508" s="270"/>
      <c r="Y508" s="270"/>
      <c r="Z508" s="270"/>
    </row>
    <row r="509" spans="1:26" ht="15.75" customHeight="1">
      <c r="A509" s="270"/>
      <c r="B509" s="270"/>
      <c r="C509" s="270"/>
      <c r="D509" s="678"/>
      <c r="E509" s="270"/>
      <c r="F509" s="270"/>
      <c r="G509" s="270"/>
      <c r="H509" s="270"/>
      <c r="I509" s="270"/>
      <c r="J509" s="270"/>
      <c r="K509" s="270"/>
      <c r="L509" s="270"/>
      <c r="M509" s="270"/>
      <c r="N509" s="270"/>
      <c r="O509" s="270"/>
      <c r="P509" s="270"/>
      <c r="Q509" s="270"/>
      <c r="R509" s="270"/>
      <c r="S509" s="270"/>
      <c r="T509" s="270"/>
      <c r="U509" s="270"/>
      <c r="V509" s="270"/>
      <c r="W509" s="270"/>
      <c r="X509" s="270"/>
      <c r="Y509" s="270"/>
      <c r="Z509" s="270"/>
    </row>
    <row r="510" spans="1:26" ht="15.75" customHeight="1">
      <c r="A510" s="270"/>
      <c r="B510" s="270"/>
      <c r="C510" s="270"/>
      <c r="D510" s="678"/>
      <c r="E510" s="270"/>
      <c r="F510" s="270"/>
      <c r="G510" s="270"/>
      <c r="H510" s="270"/>
      <c r="I510" s="270"/>
      <c r="J510" s="270"/>
      <c r="K510" s="270"/>
      <c r="L510" s="270"/>
      <c r="M510" s="270"/>
      <c r="N510" s="270"/>
      <c r="O510" s="270"/>
      <c r="P510" s="270"/>
      <c r="Q510" s="270"/>
      <c r="R510" s="270"/>
      <c r="S510" s="270"/>
      <c r="T510" s="270"/>
      <c r="U510" s="270"/>
      <c r="V510" s="270"/>
      <c r="W510" s="270"/>
      <c r="X510" s="270"/>
      <c r="Y510" s="270"/>
      <c r="Z510" s="270"/>
    </row>
    <row r="511" spans="1:26" ht="15.75" customHeight="1">
      <c r="A511" s="270"/>
      <c r="B511" s="270"/>
      <c r="C511" s="270"/>
      <c r="D511" s="678"/>
      <c r="E511" s="270"/>
      <c r="F511" s="270"/>
      <c r="G511" s="270"/>
      <c r="H511" s="270"/>
      <c r="I511" s="270"/>
      <c r="J511" s="270"/>
      <c r="K511" s="270"/>
      <c r="L511" s="270"/>
      <c r="M511" s="270"/>
      <c r="N511" s="270"/>
      <c r="O511" s="270"/>
      <c r="P511" s="270"/>
      <c r="Q511" s="270"/>
      <c r="R511" s="270"/>
      <c r="S511" s="270"/>
      <c r="T511" s="270"/>
      <c r="U511" s="270"/>
      <c r="V511" s="270"/>
      <c r="W511" s="270"/>
      <c r="X511" s="270"/>
      <c r="Y511" s="270"/>
      <c r="Z511" s="270"/>
    </row>
    <row r="512" spans="1:26" ht="15.75" customHeight="1">
      <c r="A512" s="270"/>
      <c r="B512" s="270"/>
      <c r="C512" s="270"/>
      <c r="D512" s="678"/>
      <c r="E512" s="270"/>
      <c r="F512" s="270"/>
      <c r="G512" s="270"/>
      <c r="H512" s="270"/>
      <c r="I512" s="270"/>
      <c r="J512" s="270"/>
      <c r="K512" s="270"/>
      <c r="L512" s="270"/>
      <c r="M512" s="270"/>
      <c r="N512" s="270"/>
      <c r="O512" s="270"/>
      <c r="P512" s="270"/>
      <c r="Q512" s="270"/>
      <c r="R512" s="270"/>
      <c r="S512" s="270"/>
      <c r="T512" s="270"/>
      <c r="U512" s="270"/>
      <c r="V512" s="270"/>
      <c r="W512" s="270"/>
      <c r="X512" s="270"/>
      <c r="Y512" s="270"/>
      <c r="Z512" s="270"/>
    </row>
    <row r="513" spans="1:26" ht="15.75" customHeight="1">
      <c r="A513" s="270"/>
      <c r="B513" s="270"/>
      <c r="C513" s="270"/>
      <c r="D513" s="678"/>
      <c r="E513" s="270"/>
      <c r="F513" s="270"/>
      <c r="G513" s="270"/>
      <c r="H513" s="270"/>
      <c r="I513" s="270"/>
      <c r="J513" s="270"/>
      <c r="K513" s="270"/>
      <c r="L513" s="270"/>
      <c r="M513" s="270"/>
      <c r="N513" s="270"/>
      <c r="O513" s="270"/>
      <c r="P513" s="270"/>
      <c r="Q513" s="270"/>
      <c r="R513" s="270"/>
      <c r="S513" s="270"/>
      <c r="T513" s="270"/>
      <c r="U513" s="270"/>
      <c r="V513" s="270"/>
      <c r="W513" s="270"/>
      <c r="X513" s="270"/>
      <c r="Y513" s="270"/>
      <c r="Z513" s="270"/>
    </row>
    <row r="514" spans="1:26" ht="15.75" customHeight="1">
      <c r="A514" s="270"/>
      <c r="B514" s="270"/>
      <c r="C514" s="270"/>
      <c r="D514" s="678"/>
      <c r="E514" s="270"/>
      <c r="F514" s="270"/>
      <c r="G514" s="270"/>
      <c r="H514" s="270"/>
      <c r="I514" s="270"/>
      <c r="J514" s="270"/>
      <c r="K514" s="270"/>
      <c r="L514" s="270"/>
      <c r="M514" s="270"/>
      <c r="N514" s="270"/>
      <c r="O514" s="270"/>
      <c r="P514" s="270"/>
      <c r="Q514" s="270"/>
      <c r="R514" s="270"/>
      <c r="S514" s="270"/>
      <c r="T514" s="270"/>
      <c r="U514" s="270"/>
      <c r="V514" s="270"/>
      <c r="W514" s="270"/>
      <c r="X514" s="270"/>
      <c r="Y514" s="270"/>
      <c r="Z514" s="270"/>
    </row>
    <row r="515" spans="1:26" ht="15.75" customHeight="1">
      <c r="A515" s="270"/>
      <c r="B515" s="270"/>
      <c r="C515" s="270"/>
      <c r="D515" s="678"/>
      <c r="E515" s="270"/>
      <c r="F515" s="270"/>
      <c r="G515" s="270"/>
      <c r="H515" s="270"/>
      <c r="I515" s="270"/>
      <c r="J515" s="270"/>
      <c r="K515" s="270"/>
      <c r="L515" s="270"/>
      <c r="M515" s="270"/>
      <c r="N515" s="270"/>
      <c r="O515" s="270"/>
      <c r="P515" s="270"/>
      <c r="Q515" s="270"/>
      <c r="R515" s="270"/>
      <c r="S515" s="270"/>
      <c r="T515" s="270"/>
      <c r="U515" s="270"/>
      <c r="V515" s="270"/>
      <c r="W515" s="270"/>
      <c r="X515" s="270"/>
      <c r="Y515" s="270"/>
      <c r="Z515" s="270"/>
    </row>
    <row r="516" spans="1:26" ht="15.75" customHeight="1">
      <c r="A516" s="270"/>
      <c r="B516" s="270"/>
      <c r="C516" s="270"/>
      <c r="D516" s="678"/>
      <c r="E516" s="270"/>
      <c r="F516" s="270"/>
      <c r="G516" s="270"/>
      <c r="H516" s="270"/>
      <c r="I516" s="270"/>
      <c r="J516" s="270"/>
      <c r="K516" s="270"/>
      <c r="L516" s="270"/>
      <c r="M516" s="270"/>
      <c r="N516" s="270"/>
      <c r="O516" s="270"/>
      <c r="P516" s="270"/>
      <c r="Q516" s="270"/>
      <c r="R516" s="270"/>
      <c r="S516" s="270"/>
      <c r="T516" s="270"/>
      <c r="U516" s="270"/>
      <c r="V516" s="270"/>
      <c r="W516" s="270"/>
      <c r="X516" s="270"/>
      <c r="Y516" s="270"/>
      <c r="Z516" s="270"/>
    </row>
    <row r="517" spans="1:26" ht="15.75" customHeight="1">
      <c r="A517" s="270"/>
      <c r="B517" s="270"/>
      <c r="C517" s="270"/>
      <c r="D517" s="678"/>
      <c r="E517" s="270"/>
      <c r="F517" s="270"/>
      <c r="G517" s="270"/>
      <c r="H517" s="270"/>
      <c r="I517" s="270"/>
      <c r="J517" s="270"/>
      <c r="K517" s="270"/>
      <c r="L517" s="270"/>
      <c r="M517" s="270"/>
      <c r="N517" s="270"/>
      <c r="O517" s="270"/>
      <c r="P517" s="270"/>
      <c r="Q517" s="270"/>
      <c r="R517" s="270"/>
      <c r="S517" s="270"/>
      <c r="T517" s="270"/>
      <c r="U517" s="270"/>
      <c r="V517" s="270"/>
      <c r="W517" s="270"/>
      <c r="X517" s="270"/>
      <c r="Y517" s="270"/>
      <c r="Z517" s="270"/>
    </row>
    <row r="518" spans="1:26" ht="15.75" customHeight="1">
      <c r="A518" s="270"/>
      <c r="B518" s="270"/>
      <c r="C518" s="270"/>
      <c r="D518" s="678"/>
      <c r="E518" s="270"/>
      <c r="F518" s="270"/>
      <c r="G518" s="270"/>
      <c r="H518" s="270"/>
      <c r="I518" s="270"/>
      <c r="J518" s="270"/>
      <c r="K518" s="270"/>
      <c r="L518" s="270"/>
      <c r="M518" s="270"/>
      <c r="N518" s="270"/>
      <c r="O518" s="270"/>
      <c r="P518" s="270"/>
      <c r="Q518" s="270"/>
      <c r="R518" s="270"/>
      <c r="S518" s="270"/>
      <c r="T518" s="270"/>
      <c r="U518" s="270"/>
      <c r="V518" s="270"/>
      <c r="W518" s="270"/>
      <c r="X518" s="270"/>
      <c r="Y518" s="270"/>
      <c r="Z518" s="270"/>
    </row>
    <row r="519" spans="1:26" ht="15.75" customHeight="1">
      <c r="A519" s="270"/>
      <c r="B519" s="270"/>
      <c r="C519" s="270"/>
      <c r="D519" s="678"/>
      <c r="E519" s="270"/>
      <c r="F519" s="270"/>
      <c r="G519" s="270"/>
      <c r="H519" s="270"/>
      <c r="I519" s="270"/>
      <c r="J519" s="270"/>
      <c r="K519" s="270"/>
      <c r="L519" s="270"/>
      <c r="M519" s="270"/>
      <c r="N519" s="270"/>
      <c r="O519" s="270"/>
      <c r="P519" s="270"/>
      <c r="Q519" s="270"/>
      <c r="R519" s="270"/>
      <c r="S519" s="270"/>
      <c r="T519" s="270"/>
      <c r="U519" s="270"/>
      <c r="V519" s="270"/>
      <c r="W519" s="270"/>
      <c r="X519" s="270"/>
      <c r="Y519" s="270"/>
      <c r="Z519" s="270"/>
    </row>
    <row r="520" spans="1:26" ht="15.75" customHeight="1">
      <c r="A520" s="270"/>
      <c r="B520" s="270"/>
      <c r="C520" s="270"/>
      <c r="D520" s="678"/>
      <c r="E520" s="270"/>
      <c r="F520" s="270"/>
      <c r="G520" s="270"/>
      <c r="H520" s="270"/>
      <c r="I520" s="270"/>
      <c r="J520" s="270"/>
      <c r="K520" s="270"/>
      <c r="L520" s="270"/>
      <c r="M520" s="270"/>
      <c r="N520" s="270"/>
      <c r="O520" s="270"/>
      <c r="P520" s="270"/>
      <c r="Q520" s="270"/>
      <c r="R520" s="270"/>
      <c r="S520" s="270"/>
      <c r="T520" s="270"/>
      <c r="U520" s="270"/>
      <c r="V520" s="270"/>
      <c r="W520" s="270"/>
      <c r="X520" s="270"/>
      <c r="Y520" s="270"/>
      <c r="Z520" s="270"/>
    </row>
    <row r="521" spans="1:26" ht="15.75" customHeight="1">
      <c r="D521" s="679"/>
    </row>
    <row r="522" spans="1:26" ht="15.75" customHeight="1">
      <c r="D522" s="679"/>
    </row>
    <row r="523" spans="1:26" ht="15.75" customHeight="1">
      <c r="D523" s="679"/>
    </row>
    <row r="524" spans="1:26" ht="15.75" customHeight="1">
      <c r="D524" s="679"/>
    </row>
    <row r="525" spans="1:26" ht="15.75" customHeight="1">
      <c r="D525" s="679"/>
    </row>
    <row r="526" spans="1:26" ht="15.75" customHeight="1">
      <c r="D526" s="679"/>
    </row>
    <row r="527" spans="1:26" ht="15.75" customHeight="1">
      <c r="D527" s="679"/>
    </row>
    <row r="528" spans="1:26" ht="15.75" customHeight="1">
      <c r="D528" s="679"/>
    </row>
    <row r="529" spans="4:4" ht="15.75" customHeight="1">
      <c r="D529" s="679"/>
    </row>
    <row r="530" spans="4:4" ht="15.75" customHeight="1">
      <c r="D530" s="679"/>
    </row>
    <row r="531" spans="4:4" ht="15.75" customHeight="1">
      <c r="D531" s="679"/>
    </row>
    <row r="532" spans="4:4" ht="15.75" customHeight="1">
      <c r="D532" s="679"/>
    </row>
    <row r="533" spans="4:4" ht="15.75" customHeight="1">
      <c r="D533" s="679"/>
    </row>
    <row r="534" spans="4:4" ht="15.75" customHeight="1">
      <c r="D534" s="679"/>
    </row>
    <row r="535" spans="4:4" ht="15.75" customHeight="1">
      <c r="D535" s="679"/>
    </row>
    <row r="536" spans="4:4" ht="15.75" customHeight="1">
      <c r="D536" s="679"/>
    </row>
    <row r="537" spans="4:4" ht="15.75" customHeight="1">
      <c r="D537" s="679"/>
    </row>
    <row r="538" spans="4:4" ht="15.75" customHeight="1">
      <c r="D538" s="679"/>
    </row>
    <row r="539" spans="4:4" ht="15.75" customHeight="1">
      <c r="D539" s="679"/>
    </row>
    <row r="540" spans="4:4" ht="15.75" customHeight="1">
      <c r="D540" s="679"/>
    </row>
    <row r="541" spans="4:4" ht="15.75" customHeight="1">
      <c r="D541" s="679"/>
    </row>
    <row r="542" spans="4:4" ht="15.75" customHeight="1">
      <c r="D542" s="679"/>
    </row>
    <row r="543" spans="4:4" ht="15.75" customHeight="1">
      <c r="D543" s="679"/>
    </row>
    <row r="544" spans="4:4" ht="15.75" customHeight="1">
      <c r="D544" s="679"/>
    </row>
    <row r="545" spans="4:4" ht="15.75" customHeight="1">
      <c r="D545" s="679"/>
    </row>
    <row r="546" spans="4:4" ht="15.75" customHeight="1">
      <c r="D546" s="679"/>
    </row>
    <row r="547" spans="4:4" ht="15.75" customHeight="1">
      <c r="D547" s="679"/>
    </row>
    <row r="548" spans="4:4" ht="15.75" customHeight="1">
      <c r="D548" s="679"/>
    </row>
    <row r="549" spans="4:4" ht="15.75" customHeight="1">
      <c r="D549" s="679"/>
    </row>
    <row r="550" spans="4:4" ht="15.75" customHeight="1">
      <c r="D550" s="679"/>
    </row>
    <row r="551" spans="4:4" ht="15.75" customHeight="1">
      <c r="D551" s="679"/>
    </row>
    <row r="552" spans="4:4" ht="15.75" customHeight="1">
      <c r="D552" s="679"/>
    </row>
    <row r="553" spans="4:4" ht="15.75" customHeight="1">
      <c r="D553" s="679"/>
    </row>
    <row r="554" spans="4:4" ht="15.75" customHeight="1">
      <c r="D554" s="679"/>
    </row>
    <row r="555" spans="4:4" ht="15.75" customHeight="1">
      <c r="D555" s="679"/>
    </row>
    <row r="556" spans="4:4" ht="15.75" customHeight="1">
      <c r="D556" s="679"/>
    </row>
    <row r="557" spans="4:4" ht="15.75" customHeight="1">
      <c r="D557" s="679"/>
    </row>
    <row r="558" spans="4:4" ht="15.75" customHeight="1">
      <c r="D558" s="679"/>
    </row>
    <row r="559" spans="4:4" ht="15.75" customHeight="1">
      <c r="D559" s="679"/>
    </row>
    <row r="560" spans="4:4" ht="15.75" customHeight="1">
      <c r="D560" s="679"/>
    </row>
    <row r="561" spans="4:4" ht="15.75" customHeight="1">
      <c r="D561" s="679"/>
    </row>
    <row r="562" spans="4:4" ht="15.75" customHeight="1">
      <c r="D562" s="679"/>
    </row>
    <row r="563" spans="4:4" ht="15.75" customHeight="1">
      <c r="D563" s="679"/>
    </row>
    <row r="564" spans="4:4" ht="15.75" customHeight="1">
      <c r="D564" s="679"/>
    </row>
    <row r="565" spans="4:4" ht="15.75" customHeight="1">
      <c r="D565" s="679"/>
    </row>
    <row r="566" spans="4:4" ht="15.75" customHeight="1">
      <c r="D566" s="679"/>
    </row>
    <row r="567" spans="4:4" ht="15.75" customHeight="1">
      <c r="D567" s="679"/>
    </row>
    <row r="568" spans="4:4" ht="15.75" customHeight="1">
      <c r="D568" s="679"/>
    </row>
    <row r="569" spans="4:4" ht="15.75" customHeight="1">
      <c r="D569" s="679"/>
    </row>
    <row r="570" spans="4:4" ht="15.75" customHeight="1">
      <c r="D570" s="679"/>
    </row>
    <row r="571" spans="4:4" ht="15.75" customHeight="1">
      <c r="D571" s="679"/>
    </row>
    <row r="572" spans="4:4" ht="15.75" customHeight="1">
      <c r="D572" s="679"/>
    </row>
    <row r="573" spans="4:4" ht="15.75" customHeight="1">
      <c r="D573" s="679"/>
    </row>
    <row r="574" spans="4:4" ht="15.75" customHeight="1">
      <c r="D574" s="679"/>
    </row>
    <row r="575" spans="4:4" ht="15.75" customHeight="1">
      <c r="D575" s="679"/>
    </row>
    <row r="576" spans="4:4" ht="15.75" customHeight="1">
      <c r="D576" s="679"/>
    </row>
    <row r="577" spans="4:4" ht="15.75" customHeight="1">
      <c r="D577" s="679"/>
    </row>
    <row r="578" spans="4:4" ht="15.75" customHeight="1">
      <c r="D578" s="679"/>
    </row>
    <row r="579" spans="4:4" ht="15.75" customHeight="1">
      <c r="D579" s="679"/>
    </row>
    <row r="580" spans="4:4" ht="15.75" customHeight="1">
      <c r="D580" s="679"/>
    </row>
    <row r="581" spans="4:4" ht="15.75" customHeight="1">
      <c r="D581" s="679"/>
    </row>
    <row r="582" spans="4:4" ht="15.75" customHeight="1">
      <c r="D582" s="679"/>
    </row>
    <row r="583" spans="4:4" ht="15.75" customHeight="1">
      <c r="D583" s="679"/>
    </row>
    <row r="584" spans="4:4" ht="15.75" customHeight="1">
      <c r="D584" s="679"/>
    </row>
    <row r="585" spans="4:4" ht="15.75" customHeight="1">
      <c r="D585" s="679"/>
    </row>
    <row r="586" spans="4:4" ht="15.75" customHeight="1">
      <c r="D586" s="679"/>
    </row>
    <row r="587" spans="4:4" ht="15.75" customHeight="1">
      <c r="D587" s="679"/>
    </row>
    <row r="588" spans="4:4" ht="15.75" customHeight="1">
      <c r="D588" s="679"/>
    </row>
    <row r="589" spans="4:4" ht="15.75" customHeight="1">
      <c r="D589" s="679"/>
    </row>
    <row r="590" spans="4:4" ht="15.75" customHeight="1">
      <c r="D590" s="679"/>
    </row>
    <row r="591" spans="4:4" ht="15.75" customHeight="1">
      <c r="D591" s="679"/>
    </row>
    <row r="592" spans="4:4" ht="15.75" customHeight="1">
      <c r="D592" s="679"/>
    </row>
    <row r="593" spans="4:4" ht="15.75" customHeight="1">
      <c r="D593" s="679"/>
    </row>
    <row r="594" spans="4:4" ht="15.75" customHeight="1">
      <c r="D594" s="679"/>
    </row>
    <row r="595" spans="4:4" ht="15.75" customHeight="1">
      <c r="D595" s="679"/>
    </row>
    <row r="596" spans="4:4" ht="15.75" customHeight="1">
      <c r="D596" s="679"/>
    </row>
    <row r="597" spans="4:4" ht="15.75" customHeight="1">
      <c r="D597" s="679"/>
    </row>
    <row r="598" spans="4:4" ht="15.75" customHeight="1">
      <c r="D598" s="679"/>
    </row>
    <row r="599" spans="4:4" ht="15.75" customHeight="1">
      <c r="D599" s="679"/>
    </row>
    <row r="600" spans="4:4" ht="15.75" customHeight="1">
      <c r="D600" s="679"/>
    </row>
    <row r="601" spans="4:4" ht="15.75" customHeight="1">
      <c r="D601" s="679"/>
    </row>
    <row r="602" spans="4:4" ht="15.75" customHeight="1">
      <c r="D602" s="679"/>
    </row>
    <row r="603" spans="4:4" ht="15.75" customHeight="1">
      <c r="D603" s="679"/>
    </row>
    <row r="604" spans="4:4" ht="15.75" customHeight="1">
      <c r="D604" s="679"/>
    </row>
    <row r="605" spans="4:4" ht="15.75" customHeight="1">
      <c r="D605" s="679"/>
    </row>
    <row r="606" spans="4:4" ht="15.75" customHeight="1">
      <c r="D606" s="679"/>
    </row>
    <row r="607" spans="4:4" ht="15.75" customHeight="1">
      <c r="D607" s="679"/>
    </row>
    <row r="608" spans="4:4" ht="15.75" customHeight="1">
      <c r="D608" s="679"/>
    </row>
    <row r="609" spans="4:4" ht="15.75" customHeight="1">
      <c r="D609" s="679"/>
    </row>
    <row r="610" spans="4:4" ht="15.75" customHeight="1">
      <c r="D610" s="679"/>
    </row>
    <row r="611" spans="4:4" ht="15.75" customHeight="1">
      <c r="D611" s="679"/>
    </row>
    <row r="612" spans="4:4" ht="15.75" customHeight="1">
      <c r="D612" s="679"/>
    </row>
    <row r="613" spans="4:4" ht="15.75" customHeight="1">
      <c r="D613" s="679"/>
    </row>
    <row r="614" spans="4:4" ht="15.75" customHeight="1">
      <c r="D614" s="679"/>
    </row>
    <row r="615" spans="4:4" ht="15.75" customHeight="1">
      <c r="D615" s="679"/>
    </row>
    <row r="616" spans="4:4" ht="15.75" customHeight="1">
      <c r="D616" s="679"/>
    </row>
    <row r="617" spans="4:4" ht="15.75" customHeight="1">
      <c r="D617" s="679"/>
    </row>
    <row r="618" spans="4:4" ht="15.75" customHeight="1">
      <c r="D618" s="679"/>
    </row>
    <row r="619" spans="4:4" ht="15.75" customHeight="1">
      <c r="D619" s="679"/>
    </row>
    <row r="620" spans="4:4" ht="15.75" customHeight="1">
      <c r="D620" s="679"/>
    </row>
    <row r="621" spans="4:4" ht="15.75" customHeight="1">
      <c r="D621" s="679"/>
    </row>
    <row r="622" spans="4:4" ht="15.75" customHeight="1">
      <c r="D622" s="679"/>
    </row>
    <row r="623" spans="4:4" ht="15.75" customHeight="1">
      <c r="D623" s="679"/>
    </row>
    <row r="624" spans="4:4" ht="15.75" customHeight="1">
      <c r="D624" s="679"/>
    </row>
    <row r="625" spans="4:4" ht="15.75" customHeight="1">
      <c r="D625" s="679"/>
    </row>
    <row r="626" spans="4:4" ht="15.75" customHeight="1">
      <c r="D626" s="679"/>
    </row>
    <row r="627" spans="4:4" ht="15.75" customHeight="1">
      <c r="D627" s="679"/>
    </row>
    <row r="628" spans="4:4" ht="15.75" customHeight="1">
      <c r="D628" s="679"/>
    </row>
    <row r="629" spans="4:4" ht="15.75" customHeight="1">
      <c r="D629" s="679"/>
    </row>
    <row r="630" spans="4:4" ht="15.75" customHeight="1">
      <c r="D630" s="679"/>
    </row>
    <row r="631" spans="4:4" ht="15.75" customHeight="1">
      <c r="D631" s="679"/>
    </row>
    <row r="632" spans="4:4" ht="15.75" customHeight="1">
      <c r="D632" s="679"/>
    </row>
    <row r="633" spans="4:4" ht="15.75" customHeight="1">
      <c r="D633" s="679"/>
    </row>
    <row r="634" spans="4:4" ht="15.75" customHeight="1">
      <c r="D634" s="679"/>
    </row>
    <row r="635" spans="4:4" ht="15.75" customHeight="1">
      <c r="D635" s="679"/>
    </row>
    <row r="636" spans="4:4" ht="15.75" customHeight="1">
      <c r="D636" s="679"/>
    </row>
    <row r="637" spans="4:4" ht="15.75" customHeight="1">
      <c r="D637" s="679"/>
    </row>
    <row r="638" spans="4:4" ht="15.75" customHeight="1">
      <c r="D638" s="679"/>
    </row>
    <row r="639" spans="4:4" ht="15.75" customHeight="1">
      <c r="D639" s="679"/>
    </row>
    <row r="640" spans="4:4" ht="15.75" customHeight="1">
      <c r="D640" s="679"/>
    </row>
    <row r="641" spans="4:4" ht="15.75" customHeight="1">
      <c r="D641" s="679"/>
    </row>
    <row r="642" spans="4:4" ht="15.75" customHeight="1">
      <c r="D642" s="679"/>
    </row>
    <row r="643" spans="4:4" ht="15.75" customHeight="1">
      <c r="D643" s="679"/>
    </row>
    <row r="644" spans="4:4" ht="15.75" customHeight="1">
      <c r="D644" s="679"/>
    </row>
    <row r="645" spans="4:4" ht="15.75" customHeight="1">
      <c r="D645" s="679"/>
    </row>
    <row r="646" spans="4:4" ht="15.75" customHeight="1">
      <c r="D646" s="679"/>
    </row>
    <row r="647" spans="4:4" ht="15.75" customHeight="1">
      <c r="D647" s="679"/>
    </row>
    <row r="648" spans="4:4" ht="15.75" customHeight="1">
      <c r="D648" s="679"/>
    </row>
    <row r="649" spans="4:4" ht="15.75" customHeight="1">
      <c r="D649" s="679"/>
    </row>
    <row r="650" spans="4:4" ht="15.75" customHeight="1">
      <c r="D650" s="679"/>
    </row>
    <row r="651" spans="4:4" ht="15.75" customHeight="1">
      <c r="D651" s="679"/>
    </row>
    <row r="652" spans="4:4" ht="15.75" customHeight="1">
      <c r="D652" s="679"/>
    </row>
    <row r="653" spans="4:4" ht="15.75" customHeight="1">
      <c r="D653" s="679"/>
    </row>
    <row r="654" spans="4:4" ht="15.75" customHeight="1">
      <c r="D654" s="679"/>
    </row>
    <row r="655" spans="4:4" ht="15.75" customHeight="1">
      <c r="D655" s="679"/>
    </row>
    <row r="656" spans="4:4" ht="15.75" customHeight="1">
      <c r="D656" s="679"/>
    </row>
    <row r="657" spans="4:4" ht="15.75" customHeight="1">
      <c r="D657" s="679"/>
    </row>
    <row r="658" spans="4:4" ht="15.75" customHeight="1">
      <c r="D658" s="679"/>
    </row>
    <row r="659" spans="4:4" ht="15.75" customHeight="1">
      <c r="D659" s="679"/>
    </row>
    <row r="660" spans="4:4" ht="15.75" customHeight="1">
      <c r="D660" s="679"/>
    </row>
    <row r="661" spans="4:4" ht="15.75" customHeight="1">
      <c r="D661" s="679"/>
    </row>
    <row r="662" spans="4:4" ht="15.75" customHeight="1">
      <c r="D662" s="679"/>
    </row>
    <row r="663" spans="4:4" ht="15.75" customHeight="1">
      <c r="D663" s="679"/>
    </row>
    <row r="664" spans="4:4" ht="15.75" customHeight="1">
      <c r="D664" s="679"/>
    </row>
    <row r="665" spans="4:4" ht="15.75" customHeight="1">
      <c r="D665" s="679"/>
    </row>
    <row r="666" spans="4:4" ht="15.75" customHeight="1">
      <c r="D666" s="679"/>
    </row>
    <row r="667" spans="4:4" ht="15.75" customHeight="1">
      <c r="D667" s="679"/>
    </row>
    <row r="668" spans="4:4" ht="15.75" customHeight="1">
      <c r="D668" s="679"/>
    </row>
    <row r="669" spans="4:4" ht="15.75" customHeight="1">
      <c r="D669" s="679"/>
    </row>
    <row r="670" spans="4:4" ht="15.75" customHeight="1">
      <c r="D670" s="679"/>
    </row>
    <row r="671" spans="4:4" ht="15.75" customHeight="1">
      <c r="D671" s="679"/>
    </row>
    <row r="672" spans="4:4" ht="15.75" customHeight="1">
      <c r="D672" s="679"/>
    </row>
    <row r="673" spans="4:4" ht="15.75" customHeight="1">
      <c r="D673" s="679"/>
    </row>
    <row r="674" spans="4:4" ht="15.75" customHeight="1">
      <c r="D674" s="679"/>
    </row>
    <row r="675" spans="4:4" ht="15.75" customHeight="1">
      <c r="D675" s="679"/>
    </row>
    <row r="676" spans="4:4" ht="15.75" customHeight="1">
      <c r="D676" s="679"/>
    </row>
    <row r="677" spans="4:4" ht="15.75" customHeight="1">
      <c r="D677" s="679"/>
    </row>
    <row r="678" spans="4:4" ht="15.75" customHeight="1">
      <c r="D678" s="679"/>
    </row>
    <row r="679" spans="4:4" ht="15.75" customHeight="1">
      <c r="D679" s="679"/>
    </row>
    <row r="680" spans="4:4" ht="15.75" customHeight="1">
      <c r="D680" s="679"/>
    </row>
    <row r="681" spans="4:4" ht="15.75" customHeight="1">
      <c r="D681" s="679"/>
    </row>
    <row r="682" spans="4:4" ht="15.75" customHeight="1">
      <c r="D682" s="679"/>
    </row>
    <row r="683" spans="4:4" ht="15.75" customHeight="1">
      <c r="D683" s="679"/>
    </row>
    <row r="684" spans="4:4" ht="15.75" customHeight="1">
      <c r="D684" s="679"/>
    </row>
    <row r="685" spans="4:4" ht="15.75" customHeight="1">
      <c r="D685" s="679"/>
    </row>
    <row r="686" spans="4:4" ht="15.75" customHeight="1">
      <c r="D686" s="679"/>
    </row>
    <row r="687" spans="4:4" ht="15.75" customHeight="1">
      <c r="D687" s="679"/>
    </row>
    <row r="688" spans="4:4" ht="15.75" customHeight="1">
      <c r="D688" s="679"/>
    </row>
    <row r="689" spans="4:4" ht="15.75" customHeight="1">
      <c r="D689" s="679"/>
    </row>
    <row r="690" spans="4:4" ht="15.75" customHeight="1">
      <c r="D690" s="679"/>
    </row>
    <row r="691" spans="4:4" ht="15.75" customHeight="1">
      <c r="D691" s="679"/>
    </row>
    <row r="692" spans="4:4" ht="15.75" customHeight="1">
      <c r="D692" s="679"/>
    </row>
    <row r="693" spans="4:4" ht="15.75" customHeight="1">
      <c r="D693" s="679"/>
    </row>
    <row r="694" spans="4:4" ht="15.75" customHeight="1">
      <c r="D694" s="679"/>
    </row>
    <row r="695" spans="4:4" ht="15.75" customHeight="1">
      <c r="D695" s="679"/>
    </row>
    <row r="696" spans="4:4" ht="15.75" customHeight="1">
      <c r="D696" s="679"/>
    </row>
    <row r="697" spans="4:4" ht="15.75" customHeight="1">
      <c r="D697" s="679"/>
    </row>
    <row r="698" spans="4:4" ht="15.75" customHeight="1">
      <c r="D698" s="679"/>
    </row>
    <row r="699" spans="4:4" ht="15.75" customHeight="1">
      <c r="D699" s="679"/>
    </row>
    <row r="700" spans="4:4" ht="15.75" customHeight="1">
      <c r="D700" s="679"/>
    </row>
    <row r="701" spans="4:4" ht="15.75" customHeight="1">
      <c r="D701" s="679"/>
    </row>
    <row r="702" spans="4:4" ht="15.75" customHeight="1">
      <c r="D702" s="679"/>
    </row>
    <row r="703" spans="4:4" ht="15.75" customHeight="1">
      <c r="D703" s="679"/>
    </row>
    <row r="704" spans="4:4" ht="15.75" customHeight="1">
      <c r="D704" s="679"/>
    </row>
    <row r="705" spans="4:4" ht="15.75" customHeight="1">
      <c r="D705" s="679"/>
    </row>
    <row r="706" spans="4:4" ht="15.75" customHeight="1">
      <c r="D706" s="679"/>
    </row>
    <row r="707" spans="4:4" ht="15.75" customHeight="1">
      <c r="D707" s="679"/>
    </row>
    <row r="708" spans="4:4" ht="15.75" customHeight="1">
      <c r="D708" s="679"/>
    </row>
    <row r="709" spans="4:4" ht="15.75" customHeight="1">
      <c r="D709" s="679"/>
    </row>
    <row r="710" spans="4:4" ht="15.75" customHeight="1">
      <c r="D710" s="679"/>
    </row>
    <row r="711" spans="4:4" ht="15.75" customHeight="1">
      <c r="D711" s="679"/>
    </row>
    <row r="712" spans="4:4" ht="15.75" customHeight="1">
      <c r="D712" s="679"/>
    </row>
    <row r="713" spans="4:4" ht="15.75" customHeight="1">
      <c r="D713" s="679"/>
    </row>
    <row r="714" spans="4:4" ht="15.75" customHeight="1">
      <c r="D714" s="679"/>
    </row>
    <row r="715" spans="4:4" ht="15.75" customHeight="1">
      <c r="D715" s="679"/>
    </row>
    <row r="716" spans="4:4" ht="15.75" customHeight="1">
      <c r="D716" s="679"/>
    </row>
    <row r="717" spans="4:4" ht="15.75" customHeight="1">
      <c r="D717" s="679"/>
    </row>
    <row r="718" spans="4:4" ht="15.75" customHeight="1">
      <c r="D718" s="679"/>
    </row>
    <row r="719" spans="4:4" ht="15.75" customHeight="1">
      <c r="D719" s="679"/>
    </row>
    <row r="720" spans="4:4" ht="15.75" customHeight="1">
      <c r="D720" s="679"/>
    </row>
    <row r="721" spans="4:4" ht="15.75" customHeight="1">
      <c r="D721" s="679"/>
    </row>
    <row r="722" spans="4:4" ht="15.75" customHeight="1">
      <c r="D722" s="679"/>
    </row>
    <row r="723" spans="4:4" ht="15.75" customHeight="1">
      <c r="D723" s="679"/>
    </row>
    <row r="724" spans="4:4" ht="15.75" customHeight="1">
      <c r="D724" s="679"/>
    </row>
    <row r="725" spans="4:4" ht="15.75" customHeight="1">
      <c r="D725" s="679"/>
    </row>
    <row r="726" spans="4:4" ht="15.75" customHeight="1">
      <c r="D726" s="679"/>
    </row>
    <row r="727" spans="4:4" ht="15.75" customHeight="1">
      <c r="D727" s="679"/>
    </row>
    <row r="728" spans="4:4" ht="15.75" customHeight="1">
      <c r="D728" s="679"/>
    </row>
    <row r="729" spans="4:4" ht="15.75" customHeight="1">
      <c r="D729" s="679"/>
    </row>
    <row r="730" spans="4:4" ht="15.75" customHeight="1">
      <c r="D730" s="679"/>
    </row>
    <row r="731" spans="4:4" ht="15.75" customHeight="1">
      <c r="D731" s="679"/>
    </row>
    <row r="732" spans="4:4" ht="15.75" customHeight="1">
      <c r="D732" s="679"/>
    </row>
    <row r="733" spans="4:4" ht="15.75" customHeight="1">
      <c r="D733" s="679"/>
    </row>
    <row r="734" spans="4:4" ht="15.75" customHeight="1">
      <c r="D734" s="679"/>
    </row>
    <row r="735" spans="4:4" ht="15.75" customHeight="1">
      <c r="D735" s="679"/>
    </row>
    <row r="736" spans="4:4" ht="15.75" customHeight="1">
      <c r="D736" s="679"/>
    </row>
    <row r="737" spans="4:4" ht="15.75" customHeight="1">
      <c r="D737" s="679"/>
    </row>
    <row r="738" spans="4:4" ht="15.75" customHeight="1">
      <c r="D738" s="679"/>
    </row>
    <row r="739" spans="4:4" ht="15.75" customHeight="1">
      <c r="D739" s="679"/>
    </row>
    <row r="740" spans="4:4" ht="15.75" customHeight="1">
      <c r="D740" s="679"/>
    </row>
    <row r="741" spans="4:4" ht="15.75" customHeight="1">
      <c r="D741" s="679"/>
    </row>
    <row r="742" spans="4:4" ht="15.75" customHeight="1">
      <c r="D742" s="679"/>
    </row>
    <row r="743" spans="4:4" ht="15.75" customHeight="1">
      <c r="D743" s="679"/>
    </row>
    <row r="744" spans="4:4" ht="15.75" customHeight="1">
      <c r="D744" s="679"/>
    </row>
    <row r="745" spans="4:4" ht="15.75" customHeight="1">
      <c r="D745" s="679"/>
    </row>
    <row r="746" spans="4:4" ht="15.75" customHeight="1">
      <c r="D746" s="679"/>
    </row>
    <row r="747" spans="4:4" ht="15.75" customHeight="1">
      <c r="D747" s="679"/>
    </row>
    <row r="748" spans="4:4" ht="15.75" customHeight="1">
      <c r="D748" s="679"/>
    </row>
    <row r="749" spans="4:4" ht="15.75" customHeight="1">
      <c r="D749" s="679"/>
    </row>
    <row r="750" spans="4:4" ht="15.75" customHeight="1">
      <c r="D750" s="679"/>
    </row>
    <row r="751" spans="4:4" ht="15.75" customHeight="1">
      <c r="D751" s="679"/>
    </row>
    <row r="752" spans="4:4" ht="15.75" customHeight="1">
      <c r="D752" s="679"/>
    </row>
    <row r="753" spans="4:4" ht="15.75" customHeight="1">
      <c r="D753" s="679"/>
    </row>
    <row r="754" spans="4:4" ht="15.75" customHeight="1">
      <c r="D754" s="679"/>
    </row>
    <row r="755" spans="4:4" ht="15.75" customHeight="1">
      <c r="D755" s="679"/>
    </row>
    <row r="756" spans="4:4" ht="15.75" customHeight="1">
      <c r="D756" s="679"/>
    </row>
    <row r="757" spans="4:4" ht="15.75" customHeight="1">
      <c r="D757" s="679"/>
    </row>
    <row r="758" spans="4:4" ht="15.75" customHeight="1">
      <c r="D758" s="679"/>
    </row>
    <row r="759" spans="4:4" ht="15.75" customHeight="1">
      <c r="D759" s="679"/>
    </row>
    <row r="760" spans="4:4" ht="15.75" customHeight="1">
      <c r="D760" s="679"/>
    </row>
    <row r="761" spans="4:4" ht="15.75" customHeight="1">
      <c r="D761" s="679"/>
    </row>
    <row r="762" spans="4:4" ht="15.75" customHeight="1">
      <c r="D762" s="679"/>
    </row>
    <row r="763" spans="4:4" ht="15.75" customHeight="1">
      <c r="D763" s="679"/>
    </row>
    <row r="764" spans="4:4" ht="15.75" customHeight="1">
      <c r="D764" s="679"/>
    </row>
    <row r="765" spans="4:4" ht="15.75" customHeight="1">
      <c r="D765" s="679"/>
    </row>
    <row r="766" spans="4:4" ht="15.75" customHeight="1">
      <c r="D766" s="679"/>
    </row>
    <row r="767" spans="4:4" ht="15.75" customHeight="1">
      <c r="D767" s="679"/>
    </row>
    <row r="768" spans="4:4" ht="15.75" customHeight="1">
      <c r="D768" s="679"/>
    </row>
    <row r="769" spans="4:4" ht="15.75" customHeight="1">
      <c r="D769" s="679"/>
    </row>
    <row r="770" spans="4:4" ht="15.75" customHeight="1">
      <c r="D770" s="679"/>
    </row>
    <row r="771" spans="4:4" ht="15.75" customHeight="1">
      <c r="D771" s="679"/>
    </row>
    <row r="772" spans="4:4" ht="15.75" customHeight="1">
      <c r="D772" s="679"/>
    </row>
    <row r="773" spans="4:4" ht="15.75" customHeight="1">
      <c r="D773" s="679"/>
    </row>
    <row r="774" spans="4:4" ht="15.75" customHeight="1">
      <c r="D774" s="679"/>
    </row>
    <row r="775" spans="4:4" ht="15.75" customHeight="1">
      <c r="D775" s="679"/>
    </row>
    <row r="776" spans="4:4" ht="15.75" customHeight="1">
      <c r="D776" s="679"/>
    </row>
    <row r="777" spans="4:4" ht="15.75" customHeight="1">
      <c r="D777" s="679"/>
    </row>
    <row r="778" spans="4:4" ht="15.75" customHeight="1">
      <c r="D778" s="679"/>
    </row>
    <row r="779" spans="4:4" ht="15.75" customHeight="1">
      <c r="D779" s="679"/>
    </row>
    <row r="780" spans="4:4" ht="15.75" customHeight="1">
      <c r="D780" s="679"/>
    </row>
    <row r="781" spans="4:4" ht="15.75" customHeight="1">
      <c r="D781" s="679"/>
    </row>
    <row r="782" spans="4:4" ht="15.75" customHeight="1">
      <c r="D782" s="679"/>
    </row>
    <row r="783" spans="4:4" ht="15.75" customHeight="1">
      <c r="D783" s="679"/>
    </row>
    <row r="784" spans="4:4" ht="15.75" customHeight="1">
      <c r="D784" s="679"/>
    </row>
    <row r="785" spans="4:4" ht="15.75" customHeight="1">
      <c r="D785" s="679"/>
    </row>
    <row r="786" spans="4:4" ht="15.75" customHeight="1">
      <c r="D786" s="679"/>
    </row>
    <row r="787" spans="4:4" ht="15.75" customHeight="1">
      <c r="D787" s="679"/>
    </row>
    <row r="788" spans="4:4" ht="15.75" customHeight="1">
      <c r="D788" s="679"/>
    </row>
    <row r="789" spans="4:4" ht="15.75" customHeight="1">
      <c r="D789" s="679"/>
    </row>
    <row r="790" spans="4:4" ht="15.75" customHeight="1">
      <c r="D790" s="679"/>
    </row>
    <row r="791" spans="4:4" ht="15.75" customHeight="1">
      <c r="D791" s="679"/>
    </row>
    <row r="792" spans="4:4" ht="15.75" customHeight="1">
      <c r="D792" s="679"/>
    </row>
    <row r="793" spans="4:4" ht="15.75" customHeight="1">
      <c r="D793" s="679"/>
    </row>
    <row r="794" spans="4:4" ht="15.75" customHeight="1">
      <c r="D794" s="679"/>
    </row>
    <row r="795" spans="4:4" ht="15.75" customHeight="1">
      <c r="D795" s="679"/>
    </row>
    <row r="796" spans="4:4" ht="15.75" customHeight="1">
      <c r="D796" s="679"/>
    </row>
    <row r="797" spans="4:4" ht="15.75" customHeight="1">
      <c r="D797" s="679"/>
    </row>
    <row r="798" spans="4:4" ht="15.75" customHeight="1">
      <c r="D798" s="679"/>
    </row>
    <row r="799" spans="4:4" ht="15.75" customHeight="1">
      <c r="D799" s="679"/>
    </row>
    <row r="800" spans="4:4" ht="15.75" customHeight="1">
      <c r="D800" s="679"/>
    </row>
    <row r="801" spans="4:4" ht="15.75" customHeight="1">
      <c r="D801" s="679"/>
    </row>
    <row r="802" spans="4:4" ht="15.75" customHeight="1">
      <c r="D802" s="679"/>
    </row>
    <row r="803" spans="4:4" ht="15.75" customHeight="1">
      <c r="D803" s="679"/>
    </row>
    <row r="804" spans="4:4" ht="15.75" customHeight="1">
      <c r="D804" s="679"/>
    </row>
    <row r="805" spans="4:4" ht="15.75" customHeight="1">
      <c r="D805" s="679"/>
    </row>
    <row r="806" spans="4:4" ht="15.75" customHeight="1">
      <c r="D806" s="679"/>
    </row>
    <row r="807" spans="4:4" ht="15.75" customHeight="1">
      <c r="D807" s="679"/>
    </row>
    <row r="808" spans="4:4" ht="15.75" customHeight="1">
      <c r="D808" s="679"/>
    </row>
    <row r="809" spans="4:4" ht="15.75" customHeight="1">
      <c r="D809" s="679"/>
    </row>
    <row r="810" spans="4:4" ht="15.75" customHeight="1">
      <c r="D810" s="679"/>
    </row>
    <row r="811" spans="4:4" ht="15.75" customHeight="1">
      <c r="D811" s="679"/>
    </row>
    <row r="812" spans="4:4" ht="15.75" customHeight="1">
      <c r="D812" s="679"/>
    </row>
    <row r="813" spans="4:4" ht="15.75" customHeight="1">
      <c r="D813" s="679"/>
    </row>
    <row r="814" spans="4:4" ht="15.75" customHeight="1">
      <c r="D814" s="679"/>
    </row>
    <row r="815" spans="4:4" ht="15.75" customHeight="1">
      <c r="D815" s="679"/>
    </row>
    <row r="816" spans="4:4" ht="15.75" customHeight="1">
      <c r="D816" s="679"/>
    </row>
    <row r="817" spans="4:4" ht="15.75" customHeight="1">
      <c r="D817" s="679"/>
    </row>
    <row r="818" spans="4:4" ht="15.75" customHeight="1">
      <c r="D818" s="679"/>
    </row>
    <row r="819" spans="4:4" ht="15.75" customHeight="1">
      <c r="D819" s="679"/>
    </row>
    <row r="820" spans="4:4" ht="15.75" customHeight="1">
      <c r="D820" s="679"/>
    </row>
    <row r="821" spans="4:4" ht="15.75" customHeight="1">
      <c r="D821" s="679"/>
    </row>
    <row r="822" spans="4:4" ht="15.75" customHeight="1">
      <c r="D822" s="679"/>
    </row>
    <row r="823" spans="4:4" ht="15.75" customHeight="1">
      <c r="D823" s="679"/>
    </row>
    <row r="824" spans="4:4" ht="15.75" customHeight="1">
      <c r="D824" s="679"/>
    </row>
    <row r="825" spans="4:4" ht="15.75" customHeight="1">
      <c r="D825" s="679"/>
    </row>
    <row r="826" spans="4:4" ht="15.75" customHeight="1">
      <c r="D826" s="679"/>
    </row>
    <row r="827" spans="4:4" ht="15.75" customHeight="1">
      <c r="D827" s="679"/>
    </row>
    <row r="828" spans="4:4" ht="15.75" customHeight="1">
      <c r="D828" s="679"/>
    </row>
    <row r="829" spans="4:4" ht="15.75" customHeight="1">
      <c r="D829" s="679"/>
    </row>
    <row r="830" spans="4:4" ht="15.75" customHeight="1">
      <c r="D830" s="679"/>
    </row>
    <row r="831" spans="4:4" ht="15.75" customHeight="1">
      <c r="D831" s="679"/>
    </row>
    <row r="832" spans="4:4" ht="15.75" customHeight="1">
      <c r="D832" s="679"/>
    </row>
    <row r="833" spans="4:4" ht="15.75" customHeight="1">
      <c r="D833" s="679"/>
    </row>
    <row r="834" spans="4:4" ht="15.75" customHeight="1">
      <c r="D834" s="679"/>
    </row>
    <row r="835" spans="4:4" ht="15.75" customHeight="1">
      <c r="D835" s="679"/>
    </row>
    <row r="836" spans="4:4" ht="15.75" customHeight="1">
      <c r="D836" s="679"/>
    </row>
    <row r="837" spans="4:4" ht="15.75" customHeight="1">
      <c r="D837" s="679"/>
    </row>
    <row r="838" spans="4:4" ht="15.75" customHeight="1">
      <c r="D838" s="679"/>
    </row>
    <row r="839" spans="4:4" ht="15.75" customHeight="1">
      <c r="D839" s="679"/>
    </row>
    <row r="840" spans="4:4" ht="15.75" customHeight="1">
      <c r="D840" s="679"/>
    </row>
    <row r="841" spans="4:4" ht="15.75" customHeight="1">
      <c r="D841" s="679"/>
    </row>
    <row r="842" spans="4:4" ht="15.75" customHeight="1">
      <c r="D842" s="679"/>
    </row>
    <row r="843" spans="4:4" ht="15.75" customHeight="1">
      <c r="D843" s="679"/>
    </row>
    <row r="844" spans="4:4" ht="15.75" customHeight="1">
      <c r="D844" s="679"/>
    </row>
    <row r="845" spans="4:4" ht="15.75" customHeight="1">
      <c r="D845" s="679"/>
    </row>
    <row r="846" spans="4:4" ht="15.75" customHeight="1">
      <c r="D846" s="679"/>
    </row>
    <row r="847" spans="4:4" ht="15.75" customHeight="1">
      <c r="D847" s="679"/>
    </row>
    <row r="848" spans="4:4" ht="15.75" customHeight="1">
      <c r="D848" s="679"/>
    </row>
    <row r="849" spans="4:4" ht="15.75" customHeight="1">
      <c r="D849" s="679"/>
    </row>
    <row r="850" spans="4:4" ht="15.75" customHeight="1">
      <c r="D850" s="679"/>
    </row>
    <row r="851" spans="4:4" ht="15.75" customHeight="1">
      <c r="D851" s="679"/>
    </row>
    <row r="852" spans="4:4" ht="15.75" customHeight="1">
      <c r="D852" s="679"/>
    </row>
    <row r="853" spans="4:4" ht="15.75" customHeight="1">
      <c r="D853" s="679"/>
    </row>
    <row r="854" spans="4:4" ht="15.75" customHeight="1">
      <c r="D854" s="679"/>
    </row>
    <row r="855" spans="4:4" ht="15.75" customHeight="1">
      <c r="D855" s="679"/>
    </row>
    <row r="856" spans="4:4" ht="15.75" customHeight="1">
      <c r="D856" s="679"/>
    </row>
    <row r="857" spans="4:4" ht="15.75" customHeight="1">
      <c r="D857" s="679"/>
    </row>
    <row r="858" spans="4:4" ht="15.75" customHeight="1">
      <c r="D858" s="679"/>
    </row>
    <row r="859" spans="4:4" ht="15.75" customHeight="1">
      <c r="D859" s="679"/>
    </row>
    <row r="860" spans="4:4" ht="15.75" customHeight="1">
      <c r="D860" s="679"/>
    </row>
    <row r="861" spans="4:4" ht="15.75" customHeight="1">
      <c r="D861" s="679"/>
    </row>
    <row r="862" spans="4:4" ht="15.75" customHeight="1">
      <c r="D862" s="679"/>
    </row>
    <row r="863" spans="4:4" ht="15.75" customHeight="1">
      <c r="D863" s="679"/>
    </row>
    <row r="864" spans="4:4" ht="15.75" customHeight="1">
      <c r="D864" s="679"/>
    </row>
    <row r="865" spans="4:4" ht="15.75" customHeight="1">
      <c r="D865" s="679"/>
    </row>
    <row r="866" spans="4:4" ht="15.75" customHeight="1">
      <c r="D866" s="679"/>
    </row>
    <row r="867" spans="4:4" ht="15.75" customHeight="1">
      <c r="D867" s="679"/>
    </row>
    <row r="868" spans="4:4" ht="15.75" customHeight="1">
      <c r="D868" s="679"/>
    </row>
    <row r="869" spans="4:4" ht="15.75" customHeight="1">
      <c r="D869" s="679"/>
    </row>
    <row r="870" spans="4:4" ht="15.75" customHeight="1">
      <c r="D870" s="679"/>
    </row>
    <row r="871" spans="4:4" ht="15.75" customHeight="1">
      <c r="D871" s="679"/>
    </row>
    <row r="872" spans="4:4" ht="15.75" customHeight="1">
      <c r="D872" s="679"/>
    </row>
    <row r="873" spans="4:4" ht="15.75" customHeight="1">
      <c r="D873" s="679"/>
    </row>
    <row r="874" spans="4:4" ht="15.75" customHeight="1">
      <c r="D874" s="679"/>
    </row>
    <row r="875" spans="4:4" ht="15.75" customHeight="1">
      <c r="D875" s="679"/>
    </row>
    <row r="876" spans="4:4" ht="15.75" customHeight="1">
      <c r="D876" s="679"/>
    </row>
    <row r="877" spans="4:4" ht="15.75" customHeight="1">
      <c r="D877" s="679"/>
    </row>
    <row r="878" spans="4:4" ht="15.75" customHeight="1">
      <c r="D878" s="679"/>
    </row>
    <row r="879" spans="4:4" ht="15.75" customHeight="1">
      <c r="D879" s="679"/>
    </row>
    <row r="880" spans="4:4" ht="15.75" customHeight="1">
      <c r="D880" s="679"/>
    </row>
    <row r="881" spans="4:4" ht="15.75" customHeight="1">
      <c r="D881" s="679"/>
    </row>
    <row r="882" spans="4:4" ht="15.75" customHeight="1">
      <c r="D882" s="679"/>
    </row>
    <row r="883" spans="4:4" ht="15.75" customHeight="1">
      <c r="D883" s="679"/>
    </row>
    <row r="884" spans="4:4" ht="15.75" customHeight="1">
      <c r="D884" s="679"/>
    </row>
    <row r="885" spans="4:4" ht="15.75" customHeight="1">
      <c r="D885" s="679"/>
    </row>
    <row r="886" spans="4:4" ht="15.75" customHeight="1">
      <c r="D886" s="679"/>
    </row>
    <row r="887" spans="4:4" ht="15.75" customHeight="1">
      <c r="D887" s="679"/>
    </row>
    <row r="888" spans="4:4" ht="15.75" customHeight="1">
      <c r="D888" s="679"/>
    </row>
    <row r="889" spans="4:4" ht="15.75" customHeight="1">
      <c r="D889" s="679"/>
    </row>
    <row r="890" spans="4:4" ht="15.75" customHeight="1">
      <c r="D890" s="679"/>
    </row>
    <row r="891" spans="4:4" ht="15.75" customHeight="1">
      <c r="D891" s="679"/>
    </row>
    <row r="892" spans="4:4" ht="15.75" customHeight="1">
      <c r="D892" s="679"/>
    </row>
    <row r="893" spans="4:4" ht="15.75" customHeight="1">
      <c r="D893" s="679"/>
    </row>
    <row r="894" spans="4:4" ht="15.75" customHeight="1">
      <c r="D894" s="679"/>
    </row>
    <row r="895" spans="4:4" ht="15.75" customHeight="1">
      <c r="D895" s="679"/>
    </row>
    <row r="896" spans="4:4" ht="15.75" customHeight="1">
      <c r="D896" s="679"/>
    </row>
    <row r="897" spans="4:4" ht="15.75" customHeight="1">
      <c r="D897" s="679"/>
    </row>
    <row r="898" spans="4:4" ht="15.75" customHeight="1">
      <c r="D898" s="679"/>
    </row>
    <row r="899" spans="4:4" ht="15.75" customHeight="1">
      <c r="D899" s="679"/>
    </row>
    <row r="900" spans="4:4" ht="15.75" customHeight="1">
      <c r="D900" s="679"/>
    </row>
    <row r="901" spans="4:4" ht="15.75" customHeight="1">
      <c r="D901" s="679"/>
    </row>
    <row r="902" spans="4:4" ht="15.75" customHeight="1">
      <c r="D902" s="679"/>
    </row>
    <row r="903" spans="4:4" ht="15.75" customHeight="1">
      <c r="D903" s="679"/>
    </row>
    <row r="904" spans="4:4" ht="15.75" customHeight="1">
      <c r="D904" s="679"/>
    </row>
    <row r="905" spans="4:4" ht="15.75" customHeight="1">
      <c r="D905" s="679"/>
    </row>
    <row r="906" spans="4:4" ht="15.75" customHeight="1">
      <c r="D906" s="679"/>
    </row>
    <row r="907" spans="4:4" ht="15.75" customHeight="1">
      <c r="D907" s="679"/>
    </row>
    <row r="908" spans="4:4" ht="15.75" customHeight="1">
      <c r="D908" s="679"/>
    </row>
    <row r="909" spans="4:4" ht="15.75" customHeight="1">
      <c r="D909" s="679"/>
    </row>
    <row r="910" spans="4:4" ht="15.75" customHeight="1">
      <c r="D910" s="679"/>
    </row>
    <row r="911" spans="4:4" ht="15.75" customHeight="1">
      <c r="D911" s="679"/>
    </row>
    <row r="912" spans="4:4" ht="15.75" customHeight="1">
      <c r="D912" s="679"/>
    </row>
    <row r="913" spans="4:4" ht="15.75" customHeight="1">
      <c r="D913" s="679"/>
    </row>
    <row r="914" spans="4:4" ht="15.75" customHeight="1">
      <c r="D914" s="679"/>
    </row>
    <row r="915" spans="4:4" ht="15.75" customHeight="1">
      <c r="D915" s="679"/>
    </row>
    <row r="916" spans="4:4" ht="15.75" customHeight="1">
      <c r="D916" s="679"/>
    </row>
    <row r="917" spans="4:4" ht="15.75" customHeight="1">
      <c r="D917" s="679"/>
    </row>
    <row r="918" spans="4:4" ht="15.75" customHeight="1">
      <c r="D918" s="679"/>
    </row>
    <row r="919" spans="4:4" ht="15.75" customHeight="1">
      <c r="D919" s="679"/>
    </row>
    <row r="920" spans="4:4" ht="15.75" customHeight="1">
      <c r="D920" s="679"/>
    </row>
    <row r="921" spans="4:4" ht="15.75" customHeight="1">
      <c r="D921" s="679"/>
    </row>
    <row r="922" spans="4:4" ht="15.75" customHeight="1">
      <c r="D922" s="679"/>
    </row>
    <row r="923" spans="4:4" ht="15.75" customHeight="1">
      <c r="D923" s="679"/>
    </row>
    <row r="924" spans="4:4" ht="15.75" customHeight="1">
      <c r="D924" s="679"/>
    </row>
    <row r="925" spans="4:4" ht="15.75" customHeight="1">
      <c r="D925" s="679"/>
    </row>
    <row r="926" spans="4:4" ht="15.75" customHeight="1">
      <c r="D926" s="679"/>
    </row>
    <row r="927" spans="4:4" ht="15.75" customHeight="1">
      <c r="D927" s="679"/>
    </row>
    <row r="928" spans="4:4" ht="15.75" customHeight="1">
      <c r="D928" s="679"/>
    </row>
    <row r="929" spans="4:4" ht="15.75" customHeight="1">
      <c r="D929" s="679"/>
    </row>
    <row r="930" spans="4:4" ht="15.75" customHeight="1">
      <c r="D930" s="679"/>
    </row>
    <row r="931" spans="4:4" ht="15.75" customHeight="1">
      <c r="D931" s="679"/>
    </row>
    <row r="932" spans="4:4" ht="15.75" customHeight="1">
      <c r="D932" s="679"/>
    </row>
    <row r="933" spans="4:4" ht="15.75" customHeight="1">
      <c r="D933" s="679"/>
    </row>
    <row r="934" spans="4:4" ht="15.75" customHeight="1">
      <c r="D934" s="679"/>
    </row>
    <row r="935" spans="4:4" ht="15.75" customHeight="1">
      <c r="D935" s="679"/>
    </row>
    <row r="936" spans="4:4" ht="15.75" customHeight="1">
      <c r="D936" s="679"/>
    </row>
    <row r="937" spans="4:4" ht="15.75" customHeight="1">
      <c r="D937" s="679"/>
    </row>
    <row r="938" spans="4:4" ht="15.75" customHeight="1">
      <c r="D938" s="679"/>
    </row>
    <row r="939" spans="4:4" ht="15.75" customHeight="1">
      <c r="D939" s="679"/>
    </row>
    <row r="940" spans="4:4" ht="15.75" customHeight="1">
      <c r="D940" s="679"/>
    </row>
    <row r="941" spans="4:4" ht="15.75" customHeight="1">
      <c r="D941" s="679"/>
    </row>
    <row r="942" spans="4:4" ht="15.75" customHeight="1">
      <c r="D942" s="679"/>
    </row>
    <row r="943" spans="4:4" ht="15.75" customHeight="1">
      <c r="D943" s="679"/>
    </row>
    <row r="944" spans="4:4" ht="15.75" customHeight="1">
      <c r="D944" s="679"/>
    </row>
    <row r="945" spans="4:4" ht="15.75" customHeight="1">
      <c r="D945" s="679"/>
    </row>
    <row r="946" spans="4:4" ht="15.75" customHeight="1">
      <c r="D946" s="679"/>
    </row>
    <row r="947" spans="4:4" ht="15.75" customHeight="1">
      <c r="D947" s="679"/>
    </row>
    <row r="948" spans="4:4" ht="15.75" customHeight="1">
      <c r="D948" s="679"/>
    </row>
    <row r="949" spans="4:4" ht="15.75" customHeight="1">
      <c r="D949" s="679"/>
    </row>
    <row r="950" spans="4:4" ht="15.75" customHeight="1">
      <c r="D950" s="679"/>
    </row>
    <row r="951" spans="4:4" ht="15.75" customHeight="1">
      <c r="D951" s="679"/>
    </row>
    <row r="952" spans="4:4" ht="15.75" customHeight="1">
      <c r="D952" s="679"/>
    </row>
    <row r="953" spans="4:4" ht="15.75" customHeight="1">
      <c r="D953" s="679"/>
    </row>
    <row r="954" spans="4:4" ht="15.75" customHeight="1">
      <c r="D954" s="679"/>
    </row>
    <row r="955" spans="4:4" ht="15.75" customHeight="1">
      <c r="D955" s="679"/>
    </row>
    <row r="956" spans="4:4" ht="15.75" customHeight="1">
      <c r="D956" s="679"/>
    </row>
    <row r="957" spans="4:4" ht="15.75" customHeight="1">
      <c r="D957" s="679"/>
    </row>
    <row r="958" spans="4:4" ht="15.75" customHeight="1">
      <c r="D958" s="679"/>
    </row>
    <row r="959" spans="4:4" ht="15.75" customHeight="1">
      <c r="D959" s="679"/>
    </row>
    <row r="960" spans="4:4" ht="15.75" customHeight="1">
      <c r="D960" s="679"/>
    </row>
    <row r="961" spans="4:4" ht="15.75" customHeight="1">
      <c r="D961" s="679"/>
    </row>
    <row r="962" spans="4:4" ht="15.75" customHeight="1">
      <c r="D962" s="679"/>
    </row>
    <row r="963" spans="4:4" ht="15.75" customHeight="1">
      <c r="D963" s="679"/>
    </row>
    <row r="964" spans="4:4" ht="15.75" customHeight="1">
      <c r="D964" s="679"/>
    </row>
    <row r="965" spans="4:4" ht="15.75" customHeight="1">
      <c r="D965" s="679"/>
    </row>
    <row r="966" spans="4:4" ht="15.75" customHeight="1">
      <c r="D966" s="679"/>
    </row>
    <row r="967" spans="4:4" ht="15.75" customHeight="1">
      <c r="D967" s="679"/>
    </row>
    <row r="968" spans="4:4" ht="15.75" customHeight="1">
      <c r="D968" s="679"/>
    </row>
    <row r="969" spans="4:4" ht="15.75" customHeight="1">
      <c r="D969" s="679"/>
    </row>
    <row r="970" spans="4:4" ht="15.75" customHeight="1">
      <c r="D970" s="679"/>
    </row>
    <row r="971" spans="4:4" ht="15.75" customHeight="1">
      <c r="D971" s="679"/>
    </row>
    <row r="972" spans="4:4" ht="15.75" customHeight="1">
      <c r="D972" s="679"/>
    </row>
    <row r="973" spans="4:4" ht="15.75" customHeight="1">
      <c r="D973" s="679"/>
    </row>
    <row r="974" spans="4:4" ht="15.75" customHeight="1">
      <c r="D974" s="679"/>
    </row>
    <row r="975" spans="4:4" ht="15.75" customHeight="1">
      <c r="D975" s="679"/>
    </row>
    <row r="976" spans="4:4" ht="15.75" customHeight="1">
      <c r="D976" s="679"/>
    </row>
    <row r="977" spans="4:4" ht="15.75" customHeight="1">
      <c r="D977" s="679"/>
    </row>
    <row r="978" spans="4:4" ht="15.75" customHeight="1">
      <c r="D978" s="679"/>
    </row>
    <row r="979" spans="4:4" ht="15.75" customHeight="1">
      <c r="D979" s="679"/>
    </row>
    <row r="980" spans="4:4" ht="15.75" customHeight="1">
      <c r="D980" s="679"/>
    </row>
    <row r="981" spans="4:4" ht="15.75" customHeight="1">
      <c r="D981" s="679"/>
    </row>
    <row r="982" spans="4:4" ht="15.75" customHeight="1">
      <c r="D982" s="679"/>
    </row>
    <row r="983" spans="4:4" ht="15.75" customHeight="1">
      <c r="D983" s="679"/>
    </row>
    <row r="984" spans="4:4" ht="15.75" customHeight="1">
      <c r="D984" s="679"/>
    </row>
    <row r="985" spans="4:4" ht="15.75" customHeight="1">
      <c r="D985" s="679"/>
    </row>
    <row r="986" spans="4:4" ht="15.75" customHeight="1">
      <c r="D986" s="679"/>
    </row>
    <row r="987" spans="4:4" ht="15.75" customHeight="1">
      <c r="D987" s="679"/>
    </row>
    <row r="988" spans="4:4" ht="15.75" customHeight="1">
      <c r="D988" s="679"/>
    </row>
    <row r="989" spans="4:4" ht="15.75" customHeight="1">
      <c r="D989" s="679"/>
    </row>
    <row r="990" spans="4:4" ht="15.75" customHeight="1">
      <c r="D990" s="679"/>
    </row>
    <row r="991" spans="4:4" ht="15.75" customHeight="1">
      <c r="D991" s="679"/>
    </row>
    <row r="992" spans="4:4" ht="15.75" customHeight="1">
      <c r="D992" s="679"/>
    </row>
    <row r="993" spans="4:4" ht="15.75" customHeight="1">
      <c r="D993" s="679"/>
    </row>
    <row r="994" spans="4:4" ht="15.75" customHeight="1">
      <c r="D994" s="679"/>
    </row>
    <row r="995" spans="4:4" ht="15.75" customHeight="1">
      <c r="D995" s="679"/>
    </row>
    <row r="996" spans="4:4" ht="15.75" customHeight="1">
      <c r="D996" s="679"/>
    </row>
    <row r="997" spans="4:4" ht="15.75" customHeight="1">
      <c r="D997" s="679"/>
    </row>
    <row r="998" spans="4:4" ht="15.75" customHeight="1">
      <c r="D998" s="679"/>
    </row>
    <row r="999" spans="4:4" ht="15.75" customHeight="1">
      <c r="D999" s="679"/>
    </row>
    <row r="1000" spans="4:4" ht="15.75" customHeight="1">
      <c r="D1000" s="679"/>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680">
        <v>45292</v>
      </c>
      <c r="B1" s="223" t="s">
        <v>1507</v>
      </c>
    </row>
    <row r="2" spans="1:2" ht="17.25" customHeight="1">
      <c r="A2" s="680">
        <v>45299</v>
      </c>
      <c r="B2" s="223" t="s">
        <v>1508</v>
      </c>
    </row>
    <row r="3" spans="1:2" ht="17.25" customHeight="1">
      <c r="A3" s="680">
        <v>45376</v>
      </c>
      <c r="B3" s="223" t="s">
        <v>1509</v>
      </c>
    </row>
    <row r="4" spans="1:2" ht="17.25" customHeight="1">
      <c r="A4" s="680">
        <v>45379</v>
      </c>
      <c r="B4" s="223" t="s">
        <v>1510</v>
      </c>
    </row>
    <row r="5" spans="1:2" ht="17.25" customHeight="1">
      <c r="A5" s="680">
        <v>45380</v>
      </c>
      <c r="B5" s="223" t="s">
        <v>1511</v>
      </c>
    </row>
    <row r="6" spans="1:2" ht="17.25" customHeight="1">
      <c r="A6" s="680">
        <v>45413</v>
      </c>
      <c r="B6" s="223" t="s">
        <v>1512</v>
      </c>
    </row>
    <row r="7" spans="1:2" ht="17.25" customHeight="1">
      <c r="A7" s="680">
        <v>45425</v>
      </c>
      <c r="B7" s="223" t="s">
        <v>1513</v>
      </c>
    </row>
    <row r="8" spans="1:2" ht="17.25" customHeight="1">
      <c r="A8" s="680">
        <v>45446</v>
      </c>
      <c r="B8" s="223" t="s">
        <v>1514</v>
      </c>
    </row>
    <row r="9" spans="1:2" ht="17.25" customHeight="1">
      <c r="A9" s="680">
        <v>45453</v>
      </c>
      <c r="B9" s="223" t="s">
        <v>1515</v>
      </c>
    </row>
    <row r="10" spans="1:2" ht="17.25" customHeight="1">
      <c r="A10" s="680">
        <v>45474</v>
      </c>
      <c r="B10" s="223" t="s">
        <v>1516</v>
      </c>
    </row>
    <row r="11" spans="1:2" ht="17.25" customHeight="1">
      <c r="A11" s="680">
        <v>45493</v>
      </c>
      <c r="B11" s="223" t="s">
        <v>1517</v>
      </c>
    </row>
    <row r="12" spans="1:2" ht="17.25" customHeight="1">
      <c r="A12" s="680">
        <v>45511</v>
      </c>
      <c r="B12" s="223" t="s">
        <v>1518</v>
      </c>
    </row>
    <row r="13" spans="1:2" ht="17.25" customHeight="1">
      <c r="A13" s="680">
        <v>45523</v>
      </c>
      <c r="B13" s="223" t="s">
        <v>1519</v>
      </c>
    </row>
    <row r="14" spans="1:2" ht="17.25" customHeight="1">
      <c r="A14" s="680">
        <v>45579</v>
      </c>
      <c r="B14" s="223" t="s">
        <v>1520</v>
      </c>
    </row>
    <row r="15" spans="1:2" ht="17.25" customHeight="1">
      <c r="A15" s="680">
        <v>45600</v>
      </c>
      <c r="B15" s="223" t="s">
        <v>1521</v>
      </c>
    </row>
    <row r="16" spans="1:2" ht="17.25" customHeight="1">
      <c r="A16" s="680">
        <v>45607</v>
      </c>
      <c r="B16" s="223" t="s">
        <v>1522</v>
      </c>
    </row>
    <row r="17" spans="1:2" ht="17.25" customHeight="1">
      <c r="A17" s="680">
        <v>45634</v>
      </c>
      <c r="B17" s="223" t="s">
        <v>1523</v>
      </c>
    </row>
    <row r="18" spans="1:2">
      <c r="A18" s="680">
        <v>45651</v>
      </c>
      <c r="B18" s="223" t="s">
        <v>1524</v>
      </c>
    </row>
    <row r="19" spans="1:2" ht="17.25" customHeight="1">
      <c r="A19" s="680">
        <v>45658</v>
      </c>
      <c r="B19" s="681" t="s">
        <v>1525</v>
      </c>
    </row>
    <row r="20" spans="1:2" ht="17.25" customHeight="1">
      <c r="A20" s="680">
        <v>45663</v>
      </c>
      <c r="B20" s="681" t="s">
        <v>1526</v>
      </c>
    </row>
    <row r="21" spans="1:2" ht="17.25" customHeight="1">
      <c r="A21" s="680">
        <v>45740</v>
      </c>
      <c r="B21" s="681" t="s">
        <v>1527</v>
      </c>
    </row>
    <row r="22" spans="1:2" ht="17.25" customHeight="1">
      <c r="A22" s="680">
        <v>45764</v>
      </c>
      <c r="B22" s="681" t="s">
        <v>1528</v>
      </c>
    </row>
    <row r="23" spans="1:2" ht="17.25" customHeight="1">
      <c r="A23" s="680">
        <v>45765</v>
      </c>
      <c r="B23" s="681" t="s">
        <v>1529</v>
      </c>
    </row>
    <row r="24" spans="1:2" ht="17.25" customHeight="1">
      <c r="A24" s="680">
        <v>45778</v>
      </c>
      <c r="B24" s="681" t="s">
        <v>1530</v>
      </c>
    </row>
    <row r="25" spans="1:2" ht="17.25" customHeight="1">
      <c r="A25" s="680">
        <v>45810</v>
      </c>
      <c r="B25" s="681" t="s">
        <v>1531</v>
      </c>
    </row>
    <row r="26" spans="1:2" ht="17.25" customHeight="1">
      <c r="A26" s="680">
        <v>45831</v>
      </c>
      <c r="B26" s="681" t="s">
        <v>1532</v>
      </c>
    </row>
    <row r="27" spans="1:2" ht="17.25" customHeight="1">
      <c r="A27" s="680">
        <v>45838</v>
      </c>
      <c r="B27" s="681" t="s">
        <v>1533</v>
      </c>
    </row>
    <row r="28" spans="1:2" ht="17.25" customHeight="1">
      <c r="A28" s="680">
        <v>45858</v>
      </c>
      <c r="B28" s="681" t="s">
        <v>1534</v>
      </c>
    </row>
    <row r="29" spans="1:2" ht="17.25" customHeight="1">
      <c r="A29" s="680">
        <v>45876</v>
      </c>
      <c r="B29" s="681" t="s">
        <v>1535</v>
      </c>
    </row>
    <row r="30" spans="1:2" ht="17.25" customHeight="1">
      <c r="A30" s="680">
        <v>45887</v>
      </c>
      <c r="B30" s="681" t="s">
        <v>1536</v>
      </c>
    </row>
    <row r="31" spans="1:2" ht="17.25" customHeight="1">
      <c r="A31" s="680">
        <v>45943</v>
      </c>
      <c r="B31" s="681" t="s">
        <v>1537</v>
      </c>
    </row>
    <row r="32" spans="1:2" ht="17.25" customHeight="1">
      <c r="A32" s="680">
        <v>45964</v>
      </c>
      <c r="B32" s="681" t="s">
        <v>1538</v>
      </c>
    </row>
    <row r="33" spans="1:2" ht="17.25" customHeight="1">
      <c r="A33" s="680">
        <v>45978</v>
      </c>
      <c r="B33" s="681" t="s">
        <v>1539</v>
      </c>
    </row>
    <row r="34" spans="1:2" ht="17.25" customHeight="1">
      <c r="A34" s="680">
        <v>45999</v>
      </c>
      <c r="B34" s="681" t="s">
        <v>1540</v>
      </c>
    </row>
    <row r="35" spans="1:2" ht="17.25" customHeight="1">
      <c r="A35" s="680">
        <v>46016</v>
      </c>
      <c r="B35" s="681" t="s">
        <v>1541</v>
      </c>
    </row>
    <row r="36" spans="1:2" ht="17.25" customHeight="1">
      <c r="A36" s="682">
        <v>46023</v>
      </c>
      <c r="B36" s="681" t="s">
        <v>1525</v>
      </c>
    </row>
    <row r="37" spans="1:2" ht="17.25" customHeight="1">
      <c r="A37" s="682">
        <v>46034</v>
      </c>
      <c r="B37" s="681" t="s">
        <v>1526</v>
      </c>
    </row>
    <row r="38" spans="1:2" ht="17.25" customHeight="1">
      <c r="A38" s="682">
        <v>46104</v>
      </c>
      <c r="B38" s="681" t="s">
        <v>1527</v>
      </c>
    </row>
    <row r="39" spans="1:2" ht="17.25" customHeight="1">
      <c r="A39" s="682">
        <v>46114</v>
      </c>
      <c r="B39" s="681" t="s">
        <v>1528</v>
      </c>
    </row>
    <row r="40" spans="1:2" ht="17.25" customHeight="1">
      <c r="A40" s="682">
        <v>46115</v>
      </c>
      <c r="B40" s="681" t="s">
        <v>1529</v>
      </c>
    </row>
    <row r="41" spans="1:2" ht="17.25" customHeight="1">
      <c r="A41" s="682">
        <v>46143</v>
      </c>
      <c r="B41" s="681" t="s">
        <v>1530</v>
      </c>
    </row>
    <row r="42" spans="1:2" ht="17.25" customHeight="1">
      <c r="A42" s="682">
        <v>46160</v>
      </c>
      <c r="B42" s="681" t="s">
        <v>1531</v>
      </c>
    </row>
    <row r="43" spans="1:2" ht="17.25" customHeight="1">
      <c r="A43" s="682">
        <v>46181</v>
      </c>
      <c r="B43" s="681" t="s">
        <v>1532</v>
      </c>
    </row>
    <row r="44" spans="1:2" ht="17.25" customHeight="1">
      <c r="A44" s="682">
        <v>46188</v>
      </c>
      <c r="B44" s="681" t="s">
        <v>1542</v>
      </c>
    </row>
    <row r="45" spans="1:2" ht="17.25" customHeight="1">
      <c r="A45" s="682">
        <v>46202</v>
      </c>
      <c r="B45" s="681" t="s">
        <v>1543</v>
      </c>
    </row>
    <row r="46" spans="1:2" ht="17.25" customHeight="1">
      <c r="A46" s="682">
        <v>46223</v>
      </c>
      <c r="B46" s="681" t="s">
        <v>1534</v>
      </c>
    </row>
    <row r="47" spans="1:2" ht="17.25" customHeight="1">
      <c r="A47" s="682">
        <v>46241</v>
      </c>
      <c r="B47" s="681" t="s">
        <v>1535</v>
      </c>
    </row>
    <row r="48" spans="1:2" ht="17.25" customHeight="1">
      <c r="A48" s="682">
        <v>46251</v>
      </c>
      <c r="B48" s="681" t="s">
        <v>1536</v>
      </c>
    </row>
    <row r="49" spans="1:2" ht="17.25" customHeight="1">
      <c r="A49" s="682">
        <v>46307</v>
      </c>
      <c r="B49" s="681" t="s">
        <v>1537</v>
      </c>
    </row>
    <row r="50" spans="1:2" ht="17.25" customHeight="1">
      <c r="A50" s="682">
        <v>46328</v>
      </c>
      <c r="B50" s="681" t="s">
        <v>1538</v>
      </c>
    </row>
    <row r="51" spans="1:2" ht="17.25" customHeight="1">
      <c r="A51" s="682">
        <v>46342</v>
      </c>
      <c r="B51" s="681" t="s">
        <v>1539</v>
      </c>
    </row>
    <row r="52" spans="1:2" ht="17.25" customHeight="1">
      <c r="A52" s="682">
        <v>46364</v>
      </c>
      <c r="B52" s="681" t="s">
        <v>1540</v>
      </c>
    </row>
    <row r="53" spans="1:2" ht="17.25" customHeight="1">
      <c r="A53" s="682">
        <v>46381</v>
      </c>
      <c r="B53" s="681" t="s">
        <v>1541</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665" t="s">
        <v>1544</v>
      </c>
      <c r="B1" s="223"/>
      <c r="C1" s="223"/>
      <c r="D1" s="223"/>
      <c r="E1" s="223"/>
      <c r="F1" s="223"/>
      <c r="G1" s="223"/>
      <c r="H1" s="223"/>
      <c r="I1" s="223"/>
      <c r="J1" s="223"/>
      <c r="K1" s="223"/>
      <c r="L1" s="223"/>
      <c r="M1" s="223"/>
      <c r="N1" s="223"/>
      <c r="O1" s="223"/>
      <c r="P1" s="223"/>
      <c r="Q1" s="223"/>
      <c r="R1" s="223"/>
      <c r="S1" s="223"/>
      <c r="T1" s="223"/>
      <c r="U1" s="223"/>
      <c r="V1" s="223"/>
      <c r="W1" s="223"/>
      <c r="X1" s="223"/>
      <c r="Y1" s="223"/>
      <c r="Z1" s="223"/>
    </row>
    <row r="2" spans="1:97">
      <c r="A2" s="223"/>
      <c r="B2" s="223"/>
      <c r="C2" s="223"/>
      <c r="D2" s="223"/>
      <c r="E2" s="223"/>
      <c r="F2" s="223"/>
      <c r="G2" s="223"/>
      <c r="H2" s="223"/>
      <c r="I2" s="223"/>
      <c r="J2" s="223"/>
      <c r="K2" s="223"/>
      <c r="L2" s="223"/>
      <c r="M2" s="223"/>
      <c r="N2" s="223"/>
      <c r="O2" s="223"/>
      <c r="P2" s="223"/>
      <c r="Q2" s="223"/>
      <c r="R2" s="223"/>
      <c r="S2" s="223"/>
      <c r="T2" s="223"/>
      <c r="U2" s="223"/>
      <c r="V2" s="223"/>
      <c r="W2" s="223"/>
      <c r="X2" s="223"/>
      <c r="Y2" s="223"/>
      <c r="Z2" s="223"/>
    </row>
    <row r="3" spans="1:97" ht="32.25" customHeight="1">
      <c r="A3" s="683" t="s">
        <v>1545</v>
      </c>
      <c r="B3" s="684">
        <v>45596</v>
      </c>
      <c r="C3" s="684">
        <v>45597</v>
      </c>
      <c r="D3" s="684">
        <v>45601</v>
      </c>
      <c r="E3" s="684">
        <v>45602</v>
      </c>
      <c r="F3" s="684">
        <v>45603</v>
      </c>
      <c r="G3" s="684">
        <v>45604</v>
      </c>
      <c r="H3" s="684">
        <v>45608</v>
      </c>
      <c r="I3" s="684">
        <v>45609</v>
      </c>
      <c r="J3" s="684">
        <v>45610</v>
      </c>
      <c r="K3" s="684">
        <v>45611</v>
      </c>
      <c r="L3" s="684">
        <v>45614</v>
      </c>
      <c r="M3" s="684">
        <v>45615</v>
      </c>
      <c r="N3" s="684">
        <v>45616</v>
      </c>
      <c r="O3" s="684">
        <v>45617</v>
      </c>
      <c r="P3" s="684">
        <v>45618</v>
      </c>
      <c r="Q3" s="685">
        <v>45621</v>
      </c>
      <c r="R3" s="685">
        <v>45622</v>
      </c>
      <c r="S3" s="685">
        <v>45623</v>
      </c>
      <c r="T3" s="685">
        <v>45624</v>
      </c>
      <c r="U3" s="685">
        <v>45625</v>
      </c>
      <c r="V3" s="685">
        <v>45628</v>
      </c>
      <c r="W3" s="685">
        <v>45629</v>
      </c>
      <c r="X3" s="685">
        <v>45630</v>
      </c>
      <c r="Y3" s="685">
        <v>45631</v>
      </c>
      <c r="Z3" s="685">
        <v>45632</v>
      </c>
      <c r="AA3" s="685">
        <v>45635</v>
      </c>
      <c r="AB3" s="685">
        <v>45636</v>
      </c>
      <c r="AC3" s="685">
        <v>45637</v>
      </c>
      <c r="AD3" s="685">
        <v>45638</v>
      </c>
      <c r="AE3" s="686">
        <v>45639</v>
      </c>
      <c r="AF3" s="684">
        <v>45642</v>
      </c>
      <c r="AG3" s="684">
        <v>45643</v>
      </c>
      <c r="AH3" s="684">
        <v>45644</v>
      </c>
      <c r="AI3" s="684">
        <v>45645</v>
      </c>
      <c r="AJ3" s="684">
        <v>45646</v>
      </c>
      <c r="AK3" s="684">
        <v>45649</v>
      </c>
      <c r="AL3" s="684">
        <v>45650</v>
      </c>
      <c r="AM3" s="684">
        <v>45652</v>
      </c>
      <c r="AN3" s="684">
        <v>45653</v>
      </c>
      <c r="AO3" s="684">
        <v>45656</v>
      </c>
      <c r="AP3" s="684">
        <v>45656</v>
      </c>
      <c r="AQ3" s="684">
        <v>45664</v>
      </c>
      <c r="AR3" s="684">
        <v>45665</v>
      </c>
      <c r="AS3" s="684">
        <v>45666</v>
      </c>
      <c r="AT3" s="684">
        <v>45667</v>
      </c>
      <c r="AU3" s="684">
        <v>45670</v>
      </c>
      <c r="AV3" s="684">
        <v>45671</v>
      </c>
      <c r="AW3" s="684">
        <v>45672</v>
      </c>
      <c r="AX3" s="684">
        <v>45673</v>
      </c>
      <c r="AY3" s="684">
        <v>45674</v>
      </c>
      <c r="AZ3" s="684">
        <v>45677</v>
      </c>
      <c r="BA3" s="684">
        <v>45678</v>
      </c>
      <c r="BB3" s="684">
        <v>45679</v>
      </c>
      <c r="BC3" s="684">
        <v>45680</v>
      </c>
      <c r="BD3" s="684">
        <v>45681</v>
      </c>
      <c r="BE3" s="684">
        <v>45684</v>
      </c>
      <c r="BF3" s="684">
        <v>45685</v>
      </c>
      <c r="BG3" s="684">
        <v>45686</v>
      </c>
      <c r="BH3" s="684">
        <v>45687</v>
      </c>
      <c r="BI3" s="684">
        <v>45688</v>
      </c>
      <c r="BJ3" s="685">
        <v>45691</v>
      </c>
      <c r="BK3" s="685">
        <v>45692</v>
      </c>
      <c r="BL3" s="685">
        <v>45693</v>
      </c>
      <c r="BM3" s="685">
        <v>45694</v>
      </c>
      <c r="BN3" s="685">
        <v>45695</v>
      </c>
      <c r="BO3" s="685">
        <v>45698</v>
      </c>
      <c r="BP3" s="685">
        <v>45699</v>
      </c>
      <c r="BQ3" s="685">
        <v>45700</v>
      </c>
      <c r="BR3" s="685">
        <v>45701</v>
      </c>
      <c r="BS3" s="685">
        <v>45702</v>
      </c>
      <c r="BT3" s="685">
        <v>45705</v>
      </c>
      <c r="BU3" s="685">
        <v>45706</v>
      </c>
      <c r="BV3" s="685">
        <v>45707</v>
      </c>
      <c r="BW3" s="685">
        <v>45708</v>
      </c>
      <c r="BX3" s="685">
        <v>45709</v>
      </c>
      <c r="BY3" s="685">
        <v>45712</v>
      </c>
      <c r="BZ3" s="685">
        <v>45713</v>
      </c>
      <c r="CA3" s="685">
        <v>45714</v>
      </c>
      <c r="CB3" s="685">
        <v>45715</v>
      </c>
      <c r="CC3" s="685">
        <v>45716</v>
      </c>
      <c r="CD3" s="685">
        <v>45719</v>
      </c>
      <c r="CE3" s="685">
        <v>45720</v>
      </c>
      <c r="CF3" s="685">
        <v>45721</v>
      </c>
      <c r="CG3" s="685">
        <v>45722</v>
      </c>
      <c r="CH3" s="685">
        <v>45723</v>
      </c>
      <c r="CI3" s="685">
        <v>45726</v>
      </c>
      <c r="CJ3" s="685">
        <v>45727</v>
      </c>
      <c r="CK3" s="685">
        <v>45728</v>
      </c>
      <c r="CL3" s="685">
        <v>45729</v>
      </c>
      <c r="CM3" s="685">
        <v>45730</v>
      </c>
      <c r="CN3" s="685">
        <v>45733</v>
      </c>
      <c r="CO3" s="685">
        <v>45734</v>
      </c>
      <c r="CP3" s="685">
        <v>45735</v>
      </c>
      <c r="CQ3" s="685">
        <v>45736</v>
      </c>
      <c r="CR3" s="685">
        <v>45737</v>
      </c>
      <c r="CS3" s="685">
        <v>45741</v>
      </c>
    </row>
    <row r="4" spans="1:97" ht="30.75" customHeight="1">
      <c r="A4" s="687" t="s">
        <v>611</v>
      </c>
      <c r="B4" s="688" t="s">
        <v>1546</v>
      </c>
      <c r="C4" s="689" t="s">
        <v>1547</v>
      </c>
      <c r="D4" s="506" t="s">
        <v>1546</v>
      </c>
      <c r="E4" s="506" t="s">
        <v>1546</v>
      </c>
      <c r="F4" s="506" t="s">
        <v>1546</v>
      </c>
      <c r="G4" s="506" t="s">
        <v>1546</v>
      </c>
      <c r="H4" s="506" t="s">
        <v>1546</v>
      </c>
      <c r="I4" s="506" t="s">
        <v>1546</v>
      </c>
      <c r="J4" s="506" t="s">
        <v>1546</v>
      </c>
      <c r="K4" s="506" t="s">
        <v>1546</v>
      </c>
      <c r="L4" s="506" t="s">
        <v>1546</v>
      </c>
      <c r="M4" s="506" t="s">
        <v>1546</v>
      </c>
      <c r="N4" s="506" t="s">
        <v>1546</v>
      </c>
      <c r="O4" s="506" t="s">
        <v>1548</v>
      </c>
      <c r="P4" s="690" t="s">
        <v>1546</v>
      </c>
      <c r="Q4" s="506" t="s">
        <v>1546</v>
      </c>
      <c r="R4" s="506" t="s">
        <v>1546</v>
      </c>
      <c r="S4" s="506" t="s">
        <v>1546</v>
      </c>
      <c r="T4" s="506" t="s">
        <v>1546</v>
      </c>
      <c r="U4" s="690" t="s">
        <v>1549</v>
      </c>
      <c r="V4" s="506" t="s">
        <v>1546</v>
      </c>
      <c r="W4" s="506" t="s">
        <v>1546</v>
      </c>
      <c r="X4" s="506" t="s">
        <v>1546</v>
      </c>
      <c r="Y4" s="506" t="s">
        <v>1546</v>
      </c>
      <c r="Z4" s="506" t="s">
        <v>1546</v>
      </c>
      <c r="AA4" s="506" t="s">
        <v>1546</v>
      </c>
      <c r="AB4" s="506" t="s">
        <v>1546</v>
      </c>
      <c r="AC4" s="506" t="s">
        <v>1546</v>
      </c>
      <c r="AD4" s="506" t="s">
        <v>1546</v>
      </c>
      <c r="AE4" s="716" t="s">
        <v>1550</v>
      </c>
      <c r="AF4" s="506" t="s">
        <v>1546</v>
      </c>
      <c r="AG4" s="506" t="s">
        <v>1546</v>
      </c>
      <c r="AH4" s="506" t="s">
        <v>1546</v>
      </c>
      <c r="AI4" s="506" t="s">
        <v>1546</v>
      </c>
      <c r="AJ4" s="506" t="s">
        <v>1546</v>
      </c>
      <c r="AK4" s="506" t="s">
        <v>1546</v>
      </c>
      <c r="AL4" s="716" t="s">
        <v>1551</v>
      </c>
      <c r="AM4" s="506" t="s">
        <v>1549</v>
      </c>
      <c r="AN4" s="506" t="s">
        <v>1549</v>
      </c>
      <c r="AO4" s="506" t="s">
        <v>1546</v>
      </c>
      <c r="AP4" s="716" t="s">
        <v>1552</v>
      </c>
      <c r="AQ4" s="506" t="s">
        <v>1546</v>
      </c>
      <c r="AR4" s="506" t="s">
        <v>1546</v>
      </c>
      <c r="AS4" s="716" t="s">
        <v>1552</v>
      </c>
      <c r="AT4" s="631" t="s">
        <v>1546</v>
      </c>
      <c r="AU4" s="506" t="s">
        <v>1546</v>
      </c>
      <c r="AV4" s="506" t="s">
        <v>1546</v>
      </c>
      <c r="AW4" s="506" t="s">
        <v>1546</v>
      </c>
      <c r="AX4" s="506" t="s">
        <v>1546</v>
      </c>
      <c r="AY4" s="716" t="s">
        <v>1552</v>
      </c>
      <c r="AZ4" s="506" t="s">
        <v>1546</v>
      </c>
      <c r="BA4" s="506" t="s">
        <v>1546</v>
      </c>
      <c r="BB4" s="506" t="s">
        <v>1546</v>
      </c>
      <c r="BC4" s="506" t="s">
        <v>1546</v>
      </c>
      <c r="BD4" s="506" t="s">
        <v>1546</v>
      </c>
      <c r="BE4" s="506" t="s">
        <v>1546</v>
      </c>
      <c r="BF4" s="506" t="s">
        <v>1546</v>
      </c>
      <c r="BG4" s="506" t="s">
        <v>1546</v>
      </c>
      <c r="BH4" s="506" t="s">
        <v>1546</v>
      </c>
      <c r="BI4" s="690" t="s">
        <v>1546</v>
      </c>
      <c r="BJ4" s="716" t="s">
        <v>1552</v>
      </c>
      <c r="BK4" s="690" t="s">
        <v>1553</v>
      </c>
      <c r="BL4" s="690" t="s">
        <v>1553</v>
      </c>
      <c r="BM4" s="690" t="s">
        <v>1553</v>
      </c>
      <c r="BN4" s="690" t="s">
        <v>1553</v>
      </c>
      <c r="BO4" s="690" t="s">
        <v>1553</v>
      </c>
      <c r="BP4" s="690" t="s">
        <v>1553</v>
      </c>
      <c r="BQ4" s="690" t="s">
        <v>1553</v>
      </c>
      <c r="BR4" s="506" t="s">
        <v>1546</v>
      </c>
      <c r="BS4" s="506" t="s">
        <v>1546</v>
      </c>
      <c r="BT4" s="506" t="s">
        <v>1546</v>
      </c>
      <c r="BU4" s="506" t="s">
        <v>1546</v>
      </c>
      <c r="BV4" s="506" t="s">
        <v>1546</v>
      </c>
      <c r="BW4" s="506" t="s">
        <v>1546</v>
      </c>
      <c r="BX4" s="506" t="s">
        <v>1546</v>
      </c>
      <c r="BY4" s="506" t="s">
        <v>1546</v>
      </c>
      <c r="BZ4" s="506" t="s">
        <v>1546</v>
      </c>
      <c r="CA4" s="506" t="s">
        <v>1546</v>
      </c>
      <c r="CB4" s="506" t="s">
        <v>1546</v>
      </c>
      <c r="CC4" s="506" t="s">
        <v>1546</v>
      </c>
      <c r="CD4" s="506" t="s">
        <v>1546</v>
      </c>
      <c r="CE4" s="506" t="s">
        <v>1546</v>
      </c>
      <c r="CF4" s="506" t="s">
        <v>1546</v>
      </c>
      <c r="CG4" s="506"/>
      <c r="CH4" s="506"/>
      <c r="CI4" s="716" t="s">
        <v>1554</v>
      </c>
      <c r="CJ4" s="506"/>
      <c r="CK4" s="506"/>
      <c r="CL4" s="506"/>
      <c r="CM4" s="506"/>
      <c r="CN4" s="506"/>
      <c r="CO4" s="506"/>
      <c r="CP4" s="506"/>
      <c r="CQ4" s="506"/>
      <c r="CR4" s="506"/>
      <c r="CS4" s="506" t="s">
        <v>1546</v>
      </c>
    </row>
    <row r="5" spans="1:97" ht="15.75" customHeight="1">
      <c r="A5" s="687" t="s">
        <v>596</v>
      </c>
      <c r="B5" s="688" t="s">
        <v>1546</v>
      </c>
      <c r="C5" s="506" t="s">
        <v>1546</v>
      </c>
      <c r="D5" s="506" t="s">
        <v>1546</v>
      </c>
      <c r="E5" s="506" t="s">
        <v>1546</v>
      </c>
      <c r="F5" s="506" t="s">
        <v>1546</v>
      </c>
      <c r="G5" s="506" t="s">
        <v>1546</v>
      </c>
      <c r="H5" s="506" t="s">
        <v>1546</v>
      </c>
      <c r="I5" s="506" t="s">
        <v>1546</v>
      </c>
      <c r="J5" s="506" t="s">
        <v>1546</v>
      </c>
      <c r="K5" s="506" t="s">
        <v>1546</v>
      </c>
      <c r="L5" s="506" t="s">
        <v>1553</v>
      </c>
      <c r="M5" s="506" t="s">
        <v>1553</v>
      </c>
      <c r="N5" s="506" t="s">
        <v>1553</v>
      </c>
      <c r="O5" s="506" t="s">
        <v>1553</v>
      </c>
      <c r="P5" s="690" t="s">
        <v>1553</v>
      </c>
      <c r="Q5" s="506" t="s">
        <v>1546</v>
      </c>
      <c r="R5" s="506" t="s">
        <v>1546</v>
      </c>
      <c r="S5" s="506" t="s">
        <v>1546</v>
      </c>
      <c r="T5" s="506" t="s">
        <v>1546</v>
      </c>
      <c r="U5" s="690" t="s">
        <v>1546</v>
      </c>
      <c r="V5" s="506" t="s">
        <v>1546</v>
      </c>
      <c r="W5" s="506" t="s">
        <v>1546</v>
      </c>
      <c r="X5" s="506" t="s">
        <v>1546</v>
      </c>
      <c r="Y5" s="506" t="s">
        <v>1546</v>
      </c>
      <c r="Z5" s="506" t="s">
        <v>1546</v>
      </c>
      <c r="AA5" s="506" t="s">
        <v>1546</v>
      </c>
      <c r="AB5" s="506" t="s">
        <v>1546</v>
      </c>
      <c r="AC5" s="506" t="s">
        <v>1546</v>
      </c>
      <c r="AD5" s="506" t="s">
        <v>1546</v>
      </c>
      <c r="AE5" s="717"/>
      <c r="AF5" s="506" t="s">
        <v>1546</v>
      </c>
      <c r="AG5" s="506" t="s">
        <v>1546</v>
      </c>
      <c r="AH5" s="506" t="s">
        <v>1546</v>
      </c>
      <c r="AI5" s="506" t="s">
        <v>1546</v>
      </c>
      <c r="AJ5" s="506" t="s">
        <v>1546</v>
      </c>
      <c r="AK5" s="506" t="s">
        <v>1546</v>
      </c>
      <c r="AL5" s="717"/>
      <c r="AM5" s="506" t="s">
        <v>1546</v>
      </c>
      <c r="AN5" s="506" t="s">
        <v>1546</v>
      </c>
      <c r="AO5" s="506" t="s">
        <v>1546</v>
      </c>
      <c r="AP5" s="717"/>
      <c r="AQ5" s="506" t="s">
        <v>1553</v>
      </c>
      <c r="AR5" s="506" t="s">
        <v>1553</v>
      </c>
      <c r="AS5" s="717"/>
      <c r="AT5" s="506" t="s">
        <v>1553</v>
      </c>
      <c r="AU5" s="506" t="s">
        <v>1553</v>
      </c>
      <c r="AV5" s="506" t="s">
        <v>1553</v>
      </c>
      <c r="AW5" s="506" t="s">
        <v>1553</v>
      </c>
      <c r="AX5" s="506" t="s">
        <v>1553</v>
      </c>
      <c r="AY5" s="717"/>
      <c r="AZ5" s="506" t="s">
        <v>1553</v>
      </c>
      <c r="BA5" s="506" t="s">
        <v>1546</v>
      </c>
      <c r="BB5" s="506" t="s">
        <v>1546</v>
      </c>
      <c r="BC5" s="506" t="s">
        <v>1546</v>
      </c>
      <c r="BD5" s="506" t="s">
        <v>1546</v>
      </c>
      <c r="BE5" s="506" t="s">
        <v>1546</v>
      </c>
      <c r="BF5" s="506" t="s">
        <v>1546</v>
      </c>
      <c r="BG5" s="506" t="s">
        <v>1546</v>
      </c>
      <c r="BH5" s="506" t="s">
        <v>1546</v>
      </c>
      <c r="BI5" s="690" t="s">
        <v>1546</v>
      </c>
      <c r="BJ5" s="717"/>
      <c r="BK5" s="690" t="s">
        <v>1546</v>
      </c>
      <c r="BL5" s="690" t="s">
        <v>1546</v>
      </c>
      <c r="BM5" s="506" t="s">
        <v>1546</v>
      </c>
      <c r="BN5" s="690" t="s">
        <v>1546</v>
      </c>
      <c r="BO5" s="506" t="s">
        <v>1546</v>
      </c>
      <c r="BP5" s="506" t="s">
        <v>1546</v>
      </c>
      <c r="BQ5" s="506" t="s">
        <v>1546</v>
      </c>
      <c r="BR5" s="506" t="s">
        <v>1546</v>
      </c>
      <c r="BS5" s="506" t="s">
        <v>1546</v>
      </c>
      <c r="BT5" s="506" t="s">
        <v>1546</v>
      </c>
      <c r="BU5" s="506" t="s">
        <v>1546</v>
      </c>
      <c r="BV5" s="506" t="s">
        <v>1546</v>
      </c>
      <c r="BW5" s="506" t="s">
        <v>1546</v>
      </c>
      <c r="BX5" s="506" t="s">
        <v>1546</v>
      </c>
      <c r="BY5" s="506" t="s">
        <v>1546</v>
      </c>
      <c r="BZ5" s="506" t="s">
        <v>1546</v>
      </c>
      <c r="CA5" s="506" t="s">
        <v>1546</v>
      </c>
      <c r="CB5" s="506" t="s">
        <v>1546</v>
      </c>
      <c r="CC5" s="506" t="s">
        <v>1546</v>
      </c>
      <c r="CD5" s="506" t="s">
        <v>1546</v>
      </c>
      <c r="CE5" s="506" t="s">
        <v>1546</v>
      </c>
      <c r="CF5" s="506" t="s">
        <v>1546</v>
      </c>
      <c r="CG5" s="506"/>
      <c r="CH5" s="506"/>
      <c r="CI5" s="717"/>
      <c r="CJ5" s="506"/>
      <c r="CK5" s="506"/>
      <c r="CL5" s="506"/>
      <c r="CM5" s="506"/>
      <c r="CN5" s="506"/>
      <c r="CO5" s="506"/>
      <c r="CP5" s="506"/>
      <c r="CQ5" s="506"/>
      <c r="CR5" s="506"/>
      <c r="CS5" s="506" t="s">
        <v>1546</v>
      </c>
    </row>
    <row r="6" spans="1:97" ht="15.75">
      <c r="A6" s="687" t="s">
        <v>621</v>
      </c>
      <c r="B6" s="688" t="s">
        <v>1546</v>
      </c>
      <c r="C6" s="506" t="s">
        <v>1546</v>
      </c>
      <c r="D6" s="506" t="s">
        <v>1546</v>
      </c>
      <c r="E6" s="506" t="s">
        <v>1546</v>
      </c>
      <c r="F6" s="506" t="s">
        <v>1546</v>
      </c>
      <c r="G6" s="506" t="s">
        <v>1546</v>
      </c>
      <c r="H6" s="506" t="s">
        <v>1546</v>
      </c>
      <c r="I6" s="506" t="s">
        <v>1546</v>
      </c>
      <c r="J6" s="506" t="s">
        <v>1546</v>
      </c>
      <c r="K6" s="691" t="s">
        <v>1555</v>
      </c>
      <c r="L6" s="506" t="s">
        <v>1546</v>
      </c>
      <c r="M6" s="506" t="s">
        <v>1546</v>
      </c>
      <c r="N6" s="506" t="s">
        <v>1546</v>
      </c>
      <c r="O6" s="506" t="s">
        <v>1548</v>
      </c>
      <c r="P6" s="690" t="s">
        <v>1546</v>
      </c>
      <c r="Q6" s="506" t="s">
        <v>1546</v>
      </c>
      <c r="R6" s="506" t="s">
        <v>1546</v>
      </c>
      <c r="S6" s="506" t="s">
        <v>1546</v>
      </c>
      <c r="T6" s="506" t="s">
        <v>1546</v>
      </c>
      <c r="U6" s="690" t="s">
        <v>1546</v>
      </c>
      <c r="V6" s="506" t="s">
        <v>1546</v>
      </c>
      <c r="W6" s="506" t="s">
        <v>1546</v>
      </c>
      <c r="X6" s="506" t="s">
        <v>1546</v>
      </c>
      <c r="Y6" s="506" t="s">
        <v>1546</v>
      </c>
      <c r="Z6" s="506" t="s">
        <v>1546</v>
      </c>
      <c r="AA6" s="506" t="s">
        <v>1546</v>
      </c>
      <c r="AB6" s="506" t="s">
        <v>1546</v>
      </c>
      <c r="AC6" s="506" t="s">
        <v>1546</v>
      </c>
      <c r="AD6" s="506" t="s">
        <v>1546</v>
      </c>
      <c r="AE6" s="717"/>
      <c r="AF6" s="506" t="s">
        <v>1546</v>
      </c>
      <c r="AG6" s="506" t="s">
        <v>1546</v>
      </c>
      <c r="AH6" s="506" t="s">
        <v>1546</v>
      </c>
      <c r="AI6" s="506" t="s">
        <v>1546</v>
      </c>
      <c r="AJ6" s="506" t="s">
        <v>1546</v>
      </c>
      <c r="AK6" s="506" t="s">
        <v>1546</v>
      </c>
      <c r="AL6" s="717"/>
      <c r="AM6" s="506" t="s">
        <v>1546</v>
      </c>
      <c r="AN6" s="506" t="s">
        <v>1546</v>
      </c>
      <c r="AO6" s="506" t="s">
        <v>1546</v>
      </c>
      <c r="AP6" s="717"/>
      <c r="AQ6" s="506" t="s">
        <v>1546</v>
      </c>
      <c r="AR6" s="506" t="s">
        <v>1546</v>
      </c>
      <c r="AS6" s="717"/>
      <c r="AT6" s="506" t="s">
        <v>1546</v>
      </c>
      <c r="AU6" s="506" t="s">
        <v>1546</v>
      </c>
      <c r="AV6" s="506" t="s">
        <v>1546</v>
      </c>
      <c r="AW6" s="506" t="s">
        <v>1546</v>
      </c>
      <c r="AX6" s="506" t="s">
        <v>1546</v>
      </c>
      <c r="AY6" s="717"/>
      <c r="AZ6" s="506" t="s">
        <v>1546</v>
      </c>
      <c r="BA6" s="506" t="s">
        <v>1546</v>
      </c>
      <c r="BB6" s="506" t="s">
        <v>1546</v>
      </c>
      <c r="BC6" s="506" t="s">
        <v>1546</v>
      </c>
      <c r="BD6" s="506" t="s">
        <v>1546</v>
      </c>
      <c r="BE6" s="506" t="s">
        <v>1546</v>
      </c>
      <c r="BF6" s="506" t="s">
        <v>1546</v>
      </c>
      <c r="BG6" s="506" t="s">
        <v>1546</v>
      </c>
      <c r="BH6" s="506" t="s">
        <v>1546</v>
      </c>
      <c r="BI6" s="690" t="s">
        <v>1546</v>
      </c>
      <c r="BJ6" s="717"/>
      <c r="BK6" s="690" t="s">
        <v>1546</v>
      </c>
      <c r="BL6" s="690" t="s">
        <v>1546</v>
      </c>
      <c r="BM6" s="506" t="s">
        <v>1556</v>
      </c>
      <c r="BN6" s="690" t="s">
        <v>1546</v>
      </c>
      <c r="BO6" s="506" t="s">
        <v>1546</v>
      </c>
      <c r="BP6" s="506" t="s">
        <v>1546</v>
      </c>
      <c r="BQ6" s="506" t="s">
        <v>1546</v>
      </c>
      <c r="BR6" s="506" t="s">
        <v>1546</v>
      </c>
      <c r="BS6" s="506" t="s">
        <v>1546</v>
      </c>
      <c r="BT6" s="506" t="s">
        <v>1546</v>
      </c>
      <c r="BU6" s="506" t="s">
        <v>1546</v>
      </c>
      <c r="BV6" s="506" t="s">
        <v>1546</v>
      </c>
      <c r="BW6" s="506" t="s">
        <v>1546</v>
      </c>
      <c r="BX6" s="506" t="s">
        <v>1546</v>
      </c>
      <c r="BY6" s="506" t="s">
        <v>1546</v>
      </c>
      <c r="BZ6" s="506" t="s">
        <v>1546</v>
      </c>
      <c r="CA6" s="506" t="s">
        <v>1546</v>
      </c>
      <c r="CB6" s="506" t="s">
        <v>1546</v>
      </c>
      <c r="CC6" s="506" t="s">
        <v>1546</v>
      </c>
      <c r="CD6" s="506" t="s">
        <v>1546</v>
      </c>
      <c r="CE6" s="506" t="s">
        <v>1546</v>
      </c>
      <c r="CF6" s="506" t="s">
        <v>1546</v>
      </c>
      <c r="CG6" s="506"/>
      <c r="CH6" s="506"/>
      <c r="CI6" s="717"/>
      <c r="CJ6" s="506"/>
      <c r="CK6" s="506"/>
      <c r="CL6" s="506"/>
      <c r="CM6" s="506"/>
      <c r="CN6" s="506"/>
      <c r="CO6" s="506"/>
      <c r="CP6" s="506"/>
      <c r="CQ6" s="506"/>
      <c r="CR6" s="506"/>
      <c r="CS6" s="506" t="s">
        <v>1546</v>
      </c>
    </row>
    <row r="7" spans="1:97" ht="15.75" hidden="1" customHeight="1">
      <c r="A7" s="687" t="s">
        <v>1557</v>
      </c>
      <c r="B7" s="688" t="s">
        <v>1546</v>
      </c>
      <c r="C7" s="506" t="s">
        <v>1546</v>
      </c>
      <c r="D7" s="506" t="s">
        <v>1546</v>
      </c>
      <c r="E7" s="506" t="s">
        <v>1546</v>
      </c>
      <c r="F7" s="506" t="s">
        <v>1546</v>
      </c>
      <c r="G7" s="506" t="s">
        <v>1546</v>
      </c>
      <c r="H7" s="506" t="s">
        <v>1546</v>
      </c>
      <c r="I7" s="506" t="s">
        <v>1546</v>
      </c>
      <c r="J7" s="506" t="s">
        <v>1546</v>
      </c>
      <c r="K7" s="506" t="s">
        <v>1546</v>
      </c>
      <c r="L7" s="691" t="s">
        <v>1555</v>
      </c>
      <c r="M7" s="506" t="s">
        <v>1546</v>
      </c>
      <c r="N7" s="506" t="s">
        <v>1546</v>
      </c>
      <c r="O7" s="506" t="s">
        <v>1548</v>
      </c>
      <c r="P7" s="690" t="s">
        <v>1546</v>
      </c>
      <c r="Q7" s="506" t="s">
        <v>1546</v>
      </c>
      <c r="R7" s="506" t="s">
        <v>1546</v>
      </c>
      <c r="S7" s="506" t="s">
        <v>1546</v>
      </c>
      <c r="T7" s="506" t="s">
        <v>1546</v>
      </c>
      <c r="U7" s="690" t="s">
        <v>1558</v>
      </c>
      <c r="V7" s="506" t="s">
        <v>1546</v>
      </c>
      <c r="W7" s="506" t="s">
        <v>1546</v>
      </c>
      <c r="X7" s="506" t="s">
        <v>1546</v>
      </c>
      <c r="Y7" s="506" t="s">
        <v>1546</v>
      </c>
      <c r="Z7" s="506" t="s">
        <v>1549</v>
      </c>
      <c r="AA7" s="506" t="s">
        <v>1546</v>
      </c>
      <c r="AB7" s="506" t="s">
        <v>1546</v>
      </c>
      <c r="AC7" s="506" t="s">
        <v>1546</v>
      </c>
      <c r="AD7" s="506" t="s">
        <v>1546</v>
      </c>
      <c r="AE7" s="717"/>
      <c r="AF7" s="506" t="s">
        <v>1546</v>
      </c>
      <c r="AG7" s="506" t="s">
        <v>1546</v>
      </c>
      <c r="AH7" s="506" t="s">
        <v>1546</v>
      </c>
      <c r="AI7" s="506" t="s">
        <v>1546</v>
      </c>
      <c r="AJ7" s="506" t="s">
        <v>1546</v>
      </c>
      <c r="AK7" s="506" t="s">
        <v>1546</v>
      </c>
      <c r="AL7" s="717"/>
      <c r="AM7" s="506" t="s">
        <v>1546</v>
      </c>
      <c r="AN7" s="506" t="s">
        <v>1546</v>
      </c>
      <c r="AO7" s="506" t="s">
        <v>1546</v>
      </c>
      <c r="AP7" s="717"/>
      <c r="AQ7" s="506" t="s">
        <v>1546</v>
      </c>
      <c r="AR7" s="506" t="s">
        <v>1546</v>
      </c>
      <c r="AS7" s="717"/>
      <c r="AT7" s="506" t="s">
        <v>1546</v>
      </c>
      <c r="AU7" s="506" t="s">
        <v>1549</v>
      </c>
      <c r="AV7" s="506" t="s">
        <v>1546</v>
      </c>
      <c r="AW7" s="506" t="s">
        <v>1546</v>
      </c>
      <c r="AX7" s="506" t="s">
        <v>1546</v>
      </c>
      <c r="AY7" s="717"/>
      <c r="AZ7" s="506" t="s">
        <v>1546</v>
      </c>
      <c r="BA7" s="506" t="s">
        <v>1546</v>
      </c>
      <c r="BB7" s="506" t="s">
        <v>1546</v>
      </c>
      <c r="BC7" s="506" t="s">
        <v>1546</v>
      </c>
      <c r="BD7" s="506" t="s">
        <v>1546</v>
      </c>
      <c r="BE7" s="506" t="s">
        <v>1546</v>
      </c>
      <c r="BF7" s="506" t="s">
        <v>1546</v>
      </c>
      <c r="BG7" s="506" t="s">
        <v>1546</v>
      </c>
      <c r="BH7" s="506" t="s">
        <v>1546</v>
      </c>
      <c r="BI7" s="690" t="s">
        <v>1546</v>
      </c>
      <c r="BJ7" s="717"/>
      <c r="BK7" s="690" t="s">
        <v>1546</v>
      </c>
      <c r="BL7" s="690" t="s">
        <v>1546</v>
      </c>
      <c r="BM7" s="506" t="s">
        <v>1546</v>
      </c>
      <c r="BN7" s="690" t="s">
        <v>1546</v>
      </c>
      <c r="BO7" s="506" t="s">
        <v>1549</v>
      </c>
      <c r="BP7" s="506"/>
      <c r="BQ7" s="506"/>
      <c r="BR7" s="506"/>
      <c r="BS7" s="506"/>
      <c r="BT7" s="506"/>
      <c r="BU7" s="506" t="s">
        <v>1546</v>
      </c>
      <c r="BV7" s="506" t="s">
        <v>1546</v>
      </c>
      <c r="BW7" s="506" t="s">
        <v>1546</v>
      </c>
      <c r="BX7" s="506" t="s">
        <v>1546</v>
      </c>
      <c r="BY7" s="506"/>
      <c r="BZ7" s="506"/>
      <c r="CA7" s="506"/>
      <c r="CB7" s="506"/>
      <c r="CC7" s="506"/>
      <c r="CD7" s="506"/>
      <c r="CE7" s="506"/>
      <c r="CF7" s="506"/>
      <c r="CG7" s="506"/>
      <c r="CH7" s="506"/>
      <c r="CI7" s="717"/>
      <c r="CJ7" s="506"/>
      <c r="CK7" s="506"/>
      <c r="CL7" s="506"/>
      <c r="CM7" s="506"/>
      <c r="CN7" s="506"/>
      <c r="CO7" s="506"/>
      <c r="CP7" s="506"/>
      <c r="CQ7" s="506"/>
      <c r="CR7" s="506"/>
      <c r="CS7" s="506"/>
    </row>
    <row r="8" spans="1:97" ht="15.75" hidden="1" customHeight="1">
      <c r="A8" s="687" t="s">
        <v>1559</v>
      </c>
      <c r="B8" s="688" t="s">
        <v>1546</v>
      </c>
      <c r="C8" s="506" t="s">
        <v>1546</v>
      </c>
      <c r="D8" s="506" t="s">
        <v>1546</v>
      </c>
      <c r="E8" s="506" t="s">
        <v>1546</v>
      </c>
      <c r="F8" s="506" t="s">
        <v>1546</v>
      </c>
      <c r="G8" s="506" t="s">
        <v>1546</v>
      </c>
      <c r="H8" s="506" t="s">
        <v>1546</v>
      </c>
      <c r="I8" s="506" t="s">
        <v>1546</v>
      </c>
      <c r="J8" s="506" t="s">
        <v>1546</v>
      </c>
      <c r="K8" s="506" t="s">
        <v>1546</v>
      </c>
      <c r="L8" s="506" t="s">
        <v>1549</v>
      </c>
      <c r="M8" s="506" t="s">
        <v>1546</v>
      </c>
      <c r="N8" s="506" t="s">
        <v>1546</v>
      </c>
      <c r="O8" s="506" t="s">
        <v>1548</v>
      </c>
      <c r="P8" s="690" t="s">
        <v>1546</v>
      </c>
      <c r="Q8" s="506" t="s">
        <v>1546</v>
      </c>
      <c r="R8" s="506" t="s">
        <v>1546</v>
      </c>
      <c r="S8" s="506" t="s">
        <v>1546</v>
      </c>
      <c r="T8" s="506" t="s">
        <v>1546</v>
      </c>
      <c r="U8" s="690" t="s">
        <v>1546</v>
      </c>
      <c r="V8" s="506" t="s">
        <v>1546</v>
      </c>
      <c r="W8" s="506" t="s">
        <v>1560</v>
      </c>
      <c r="X8" s="506" t="s">
        <v>1546</v>
      </c>
      <c r="Y8" s="506" t="s">
        <v>1546</v>
      </c>
      <c r="Z8" s="506" t="s">
        <v>1546</v>
      </c>
      <c r="AA8" s="506" t="s">
        <v>1546</v>
      </c>
      <c r="AB8" s="506" t="s">
        <v>1549</v>
      </c>
      <c r="AC8" s="506" t="s">
        <v>1546</v>
      </c>
      <c r="AD8" s="506" t="s">
        <v>1546</v>
      </c>
      <c r="AE8" s="717"/>
      <c r="AF8" s="506" t="s">
        <v>1546</v>
      </c>
      <c r="AG8" s="506" t="s">
        <v>1546</v>
      </c>
      <c r="AH8" s="506" t="s">
        <v>1546</v>
      </c>
      <c r="AI8" s="506" t="s">
        <v>1546</v>
      </c>
      <c r="AJ8" s="506" t="s">
        <v>1546</v>
      </c>
      <c r="AK8" s="506" t="s">
        <v>1546</v>
      </c>
      <c r="AL8" s="717"/>
      <c r="AM8" s="506" t="s">
        <v>1546</v>
      </c>
      <c r="AN8" s="506" t="s">
        <v>1549</v>
      </c>
      <c r="AO8" s="506" t="s">
        <v>1546</v>
      </c>
      <c r="AP8" s="717"/>
      <c r="AQ8" s="506" t="s">
        <v>1546</v>
      </c>
      <c r="AR8" s="506" t="s">
        <v>1546</v>
      </c>
      <c r="AS8" s="717"/>
      <c r="AT8" s="506" t="s">
        <v>1546</v>
      </c>
      <c r="AU8" s="506" t="s">
        <v>1546</v>
      </c>
      <c r="AV8" s="506" t="s">
        <v>1546</v>
      </c>
      <c r="AW8" s="506" t="s">
        <v>1546</v>
      </c>
      <c r="AX8" s="506" t="s">
        <v>1546</v>
      </c>
      <c r="AY8" s="717"/>
      <c r="AZ8" s="506" t="s">
        <v>1546</v>
      </c>
      <c r="BA8" s="506" t="s">
        <v>1546</v>
      </c>
      <c r="BB8" s="506" t="s">
        <v>1546</v>
      </c>
      <c r="BC8" s="506" t="s">
        <v>1546</v>
      </c>
      <c r="BD8" s="506" t="s">
        <v>1546</v>
      </c>
      <c r="BE8" s="506" t="s">
        <v>1546</v>
      </c>
      <c r="BF8" s="506" t="s">
        <v>1546</v>
      </c>
      <c r="BG8" s="506" t="s">
        <v>1561</v>
      </c>
      <c r="BH8" s="506" t="s">
        <v>1546</v>
      </c>
      <c r="BI8" s="690" t="s">
        <v>1546</v>
      </c>
      <c r="BJ8" s="717"/>
      <c r="BK8" s="690" t="s">
        <v>1546</v>
      </c>
      <c r="BL8" s="690" t="s">
        <v>1546</v>
      </c>
      <c r="BM8" s="506" t="s">
        <v>1546</v>
      </c>
      <c r="BN8" s="690" t="s">
        <v>1546</v>
      </c>
      <c r="BO8" s="506" t="s">
        <v>1546</v>
      </c>
      <c r="BP8" s="506" t="s">
        <v>1546</v>
      </c>
      <c r="BQ8" s="506" t="s">
        <v>1546</v>
      </c>
      <c r="BR8" s="506" t="s">
        <v>1546</v>
      </c>
      <c r="BS8" s="506" t="s">
        <v>1546</v>
      </c>
      <c r="BT8" s="506" t="s">
        <v>1546</v>
      </c>
      <c r="BU8" s="506" t="s">
        <v>1546</v>
      </c>
      <c r="BV8" s="506" t="s">
        <v>1546</v>
      </c>
      <c r="BW8" s="506" t="s">
        <v>1546</v>
      </c>
      <c r="BX8" s="506" t="s">
        <v>1562</v>
      </c>
      <c r="BY8" s="506"/>
      <c r="BZ8" s="506"/>
      <c r="CA8" s="506"/>
      <c r="CB8" s="506"/>
      <c r="CC8" s="506"/>
      <c r="CD8" s="506"/>
      <c r="CE8" s="506"/>
      <c r="CF8" s="506"/>
      <c r="CG8" s="506"/>
      <c r="CH8" s="506"/>
      <c r="CI8" s="717"/>
      <c r="CJ8" s="506"/>
      <c r="CK8" s="506"/>
      <c r="CL8" s="506"/>
      <c r="CM8" s="506"/>
      <c r="CN8" s="506"/>
      <c r="CO8" s="506"/>
      <c r="CP8" s="506"/>
      <c r="CQ8" s="506"/>
      <c r="CR8" s="506"/>
      <c r="CS8" s="506"/>
    </row>
    <row r="9" spans="1:97" ht="15.75">
      <c r="A9" s="687" t="s">
        <v>718</v>
      </c>
      <c r="B9" s="688" t="s">
        <v>1546</v>
      </c>
      <c r="C9" s="506" t="s">
        <v>1546</v>
      </c>
      <c r="D9" s="506" t="s">
        <v>1546</v>
      </c>
      <c r="E9" s="506" t="s">
        <v>1546</v>
      </c>
      <c r="F9" s="506" t="s">
        <v>1546</v>
      </c>
      <c r="G9" s="506" t="s">
        <v>1546</v>
      </c>
      <c r="H9" s="506" t="s">
        <v>1546</v>
      </c>
      <c r="I9" s="506" t="s">
        <v>1546</v>
      </c>
      <c r="J9" s="506" t="s">
        <v>1546</v>
      </c>
      <c r="K9" s="506" t="s">
        <v>1546</v>
      </c>
      <c r="L9" s="506" t="s">
        <v>1546</v>
      </c>
      <c r="M9" s="506" t="s">
        <v>1546</v>
      </c>
      <c r="N9" s="506" t="s">
        <v>1546</v>
      </c>
      <c r="O9" s="691" t="s">
        <v>1555</v>
      </c>
      <c r="P9" s="690" t="s">
        <v>1546</v>
      </c>
      <c r="Q9" s="506" t="s">
        <v>1546</v>
      </c>
      <c r="R9" s="506" t="s">
        <v>1546</v>
      </c>
      <c r="S9" s="506" t="s">
        <v>1546</v>
      </c>
      <c r="T9" s="506" t="s">
        <v>1546</v>
      </c>
      <c r="U9" s="690" t="s">
        <v>1546</v>
      </c>
      <c r="V9" s="506" t="s">
        <v>1546</v>
      </c>
      <c r="W9" s="506" t="s">
        <v>1546</v>
      </c>
      <c r="X9" s="506" t="s">
        <v>1546</v>
      </c>
      <c r="Y9" s="506" t="s">
        <v>1546</v>
      </c>
      <c r="Z9" s="506" t="s">
        <v>1546</v>
      </c>
      <c r="AA9" s="506" t="s">
        <v>1546</v>
      </c>
      <c r="AB9" s="506" t="s">
        <v>1546</v>
      </c>
      <c r="AC9" s="506" t="s">
        <v>1546</v>
      </c>
      <c r="AD9" s="506" t="s">
        <v>1546</v>
      </c>
      <c r="AE9" s="717"/>
      <c r="AF9" s="506" t="s">
        <v>1546</v>
      </c>
      <c r="AG9" s="506" t="s">
        <v>1546</v>
      </c>
      <c r="AH9" s="506" t="s">
        <v>1546</v>
      </c>
      <c r="AI9" s="506" t="s">
        <v>1546</v>
      </c>
      <c r="AJ9" s="506" t="s">
        <v>1546</v>
      </c>
      <c r="AK9" s="506" t="s">
        <v>1546</v>
      </c>
      <c r="AL9" s="717"/>
      <c r="AM9" s="506" t="s">
        <v>1546</v>
      </c>
      <c r="AN9" s="506" t="s">
        <v>1546</v>
      </c>
      <c r="AO9" s="506" t="s">
        <v>1546</v>
      </c>
      <c r="AP9" s="717"/>
      <c r="AQ9" s="506" t="s">
        <v>1546</v>
      </c>
      <c r="AR9" s="506" t="s">
        <v>1546</v>
      </c>
      <c r="AS9" s="717"/>
      <c r="AT9" s="506" t="s">
        <v>1546</v>
      </c>
      <c r="AU9" s="506" t="s">
        <v>1546</v>
      </c>
      <c r="AV9" s="506" t="s">
        <v>1546</v>
      </c>
      <c r="AW9" s="506" t="s">
        <v>1546</v>
      </c>
      <c r="AX9" s="506" t="s">
        <v>1546</v>
      </c>
      <c r="AY9" s="717"/>
      <c r="AZ9" s="506" t="s">
        <v>1546</v>
      </c>
      <c r="BA9" s="506" t="s">
        <v>1546</v>
      </c>
      <c r="BB9" s="506" t="s">
        <v>1546</v>
      </c>
      <c r="BC9" s="506" t="s">
        <v>1546</v>
      </c>
      <c r="BD9" s="506" t="s">
        <v>1546</v>
      </c>
      <c r="BE9" s="506" t="s">
        <v>1546</v>
      </c>
      <c r="BF9" s="506" t="s">
        <v>1546</v>
      </c>
      <c r="BG9" s="506" t="s">
        <v>1546</v>
      </c>
      <c r="BH9" s="506" t="s">
        <v>1546</v>
      </c>
      <c r="BI9" s="690" t="s">
        <v>1546</v>
      </c>
      <c r="BJ9" s="717"/>
      <c r="BK9" s="690" t="s">
        <v>1546</v>
      </c>
      <c r="BL9" s="690" t="s">
        <v>1546</v>
      </c>
      <c r="BM9" s="506" t="s">
        <v>1546</v>
      </c>
      <c r="BN9" s="690" t="s">
        <v>1546</v>
      </c>
      <c r="BO9" s="506" t="s">
        <v>1546</v>
      </c>
      <c r="BP9" s="506" t="s">
        <v>1546</v>
      </c>
      <c r="BQ9" s="506" t="s">
        <v>1546</v>
      </c>
      <c r="BR9" s="506" t="s">
        <v>1546</v>
      </c>
      <c r="BS9" s="506" t="s">
        <v>1546</v>
      </c>
      <c r="BT9" s="506" t="s">
        <v>1546</v>
      </c>
      <c r="BU9" s="506" t="s">
        <v>1546</v>
      </c>
      <c r="BV9" s="506" t="s">
        <v>1546</v>
      </c>
      <c r="BW9" s="506" t="s">
        <v>1546</v>
      </c>
      <c r="BX9" s="506" t="s">
        <v>1546</v>
      </c>
      <c r="BY9" s="506" t="s">
        <v>1546</v>
      </c>
      <c r="BZ9" s="506" t="s">
        <v>1546</v>
      </c>
      <c r="CA9" s="506" t="s">
        <v>1546</v>
      </c>
      <c r="CB9" s="506" t="s">
        <v>1546</v>
      </c>
      <c r="CC9" s="506" t="s">
        <v>1546</v>
      </c>
      <c r="CD9" s="506" t="s">
        <v>1546</v>
      </c>
      <c r="CE9" s="506" t="s">
        <v>1546</v>
      </c>
      <c r="CF9" s="506" t="s">
        <v>1546</v>
      </c>
      <c r="CG9" s="506"/>
      <c r="CH9" s="506"/>
      <c r="CI9" s="717"/>
      <c r="CJ9" s="506"/>
      <c r="CK9" s="506"/>
      <c r="CL9" s="506"/>
      <c r="CM9" s="506"/>
      <c r="CN9" s="506"/>
      <c r="CO9" s="506"/>
      <c r="CP9" s="506"/>
      <c r="CQ9" s="506"/>
      <c r="CR9" s="506"/>
      <c r="CS9" s="506" t="s">
        <v>1546</v>
      </c>
    </row>
    <row r="10" spans="1:97" ht="15.75">
      <c r="A10" s="687" t="s">
        <v>1563</v>
      </c>
      <c r="B10" s="688" t="s">
        <v>1546</v>
      </c>
      <c r="C10" s="506" t="s">
        <v>1546</v>
      </c>
      <c r="D10" s="506" t="s">
        <v>1546</v>
      </c>
      <c r="E10" s="506" t="s">
        <v>1546</v>
      </c>
      <c r="F10" s="506" t="s">
        <v>1546</v>
      </c>
      <c r="G10" s="506" t="s">
        <v>1546</v>
      </c>
      <c r="H10" s="506" t="s">
        <v>1546</v>
      </c>
      <c r="I10" s="506" t="s">
        <v>1549</v>
      </c>
      <c r="J10" s="506" t="s">
        <v>1546</v>
      </c>
      <c r="K10" s="506" t="s">
        <v>1549</v>
      </c>
      <c r="L10" s="506" t="s">
        <v>1546</v>
      </c>
      <c r="M10" s="506" t="s">
        <v>1546</v>
      </c>
      <c r="N10" s="506" t="s">
        <v>1549</v>
      </c>
      <c r="O10" s="506" t="s">
        <v>1548</v>
      </c>
      <c r="P10" s="690" t="s">
        <v>1549</v>
      </c>
      <c r="Q10" s="506" t="s">
        <v>1549</v>
      </c>
      <c r="R10" s="506" t="s">
        <v>1546</v>
      </c>
      <c r="S10" s="506" t="s">
        <v>1546</v>
      </c>
      <c r="T10" s="506" t="s">
        <v>1546</v>
      </c>
      <c r="U10" s="690" t="s">
        <v>1549</v>
      </c>
      <c r="V10" s="506" t="s">
        <v>1546</v>
      </c>
      <c r="W10" s="506" t="s">
        <v>1546</v>
      </c>
      <c r="X10" s="506" t="s">
        <v>1546</v>
      </c>
      <c r="Y10" s="506" t="s">
        <v>1546</v>
      </c>
      <c r="Z10" s="506" t="s">
        <v>1546</v>
      </c>
      <c r="AA10" s="506" t="s">
        <v>1546</v>
      </c>
      <c r="AB10" s="506" t="s">
        <v>1546</v>
      </c>
      <c r="AC10" s="506" t="s">
        <v>1546</v>
      </c>
      <c r="AD10" s="506" t="s">
        <v>1546</v>
      </c>
      <c r="AE10" s="717"/>
      <c r="AF10" s="506" t="s">
        <v>1546</v>
      </c>
      <c r="AG10" s="506" t="s">
        <v>1546</v>
      </c>
      <c r="AH10" s="506" t="s">
        <v>1546</v>
      </c>
      <c r="AI10" s="506" t="s">
        <v>1546</v>
      </c>
      <c r="AJ10" s="506" t="s">
        <v>1546</v>
      </c>
      <c r="AK10" s="506" t="s">
        <v>1549</v>
      </c>
      <c r="AL10" s="717"/>
      <c r="AM10" s="506" t="s">
        <v>1549</v>
      </c>
      <c r="AN10" s="506" t="s">
        <v>1546</v>
      </c>
      <c r="AO10" s="506" t="s">
        <v>1546</v>
      </c>
      <c r="AP10" s="717"/>
      <c r="AQ10" s="506" t="s">
        <v>1546</v>
      </c>
      <c r="AR10" s="506" t="s">
        <v>1546</v>
      </c>
      <c r="AS10" s="717"/>
      <c r="AT10" s="506" t="s">
        <v>1546</v>
      </c>
      <c r="AU10" s="506" t="s">
        <v>1546</v>
      </c>
      <c r="AV10" s="506" t="s">
        <v>1546</v>
      </c>
      <c r="AW10" s="506" t="s">
        <v>1546</v>
      </c>
      <c r="AX10" s="506" t="s">
        <v>1546</v>
      </c>
      <c r="AY10" s="717"/>
      <c r="AZ10" s="506" t="s">
        <v>1546</v>
      </c>
      <c r="BA10" s="506" t="s">
        <v>1549</v>
      </c>
      <c r="BB10" s="506" t="s">
        <v>1549</v>
      </c>
      <c r="BC10" s="506" t="s">
        <v>1549</v>
      </c>
      <c r="BD10" s="506" t="s">
        <v>1549</v>
      </c>
      <c r="BE10" s="506" t="s">
        <v>1549</v>
      </c>
      <c r="BF10" s="506" t="s">
        <v>1546</v>
      </c>
      <c r="BG10" s="506" t="s">
        <v>1546</v>
      </c>
      <c r="BH10" s="506" t="s">
        <v>1546</v>
      </c>
      <c r="BI10" s="690" t="s">
        <v>1546</v>
      </c>
      <c r="BJ10" s="717"/>
      <c r="BK10" s="690" t="s">
        <v>1546</v>
      </c>
      <c r="BL10" s="690" t="s">
        <v>1546</v>
      </c>
      <c r="BM10" s="506" t="s">
        <v>1546</v>
      </c>
      <c r="BN10" s="690" t="s">
        <v>1546</v>
      </c>
      <c r="BO10" s="506" t="s">
        <v>1546</v>
      </c>
      <c r="BP10" s="506" t="s">
        <v>1546</v>
      </c>
      <c r="BQ10" s="506" t="s">
        <v>1546</v>
      </c>
      <c r="BR10" s="506" t="s">
        <v>1546</v>
      </c>
      <c r="BS10" s="506" t="s">
        <v>1546</v>
      </c>
      <c r="BT10" s="506" t="s">
        <v>1546</v>
      </c>
      <c r="BU10" s="506" t="s">
        <v>1546</v>
      </c>
      <c r="BV10" s="506" t="s">
        <v>1546</v>
      </c>
      <c r="BW10" s="506" t="s">
        <v>1549</v>
      </c>
      <c r="BX10" s="506" t="s">
        <v>1546</v>
      </c>
      <c r="BY10" s="506" t="s">
        <v>1546</v>
      </c>
      <c r="BZ10" s="506" t="s">
        <v>1546</v>
      </c>
      <c r="CA10" s="506" t="s">
        <v>1546</v>
      </c>
      <c r="CB10" s="506" t="s">
        <v>1546</v>
      </c>
      <c r="CC10" s="506" t="s">
        <v>1546</v>
      </c>
      <c r="CD10" s="506" t="s">
        <v>1546</v>
      </c>
      <c r="CE10" s="506" t="s">
        <v>1546</v>
      </c>
      <c r="CF10" s="506" t="s">
        <v>1546</v>
      </c>
      <c r="CG10" s="506"/>
      <c r="CH10" s="506"/>
      <c r="CI10" s="717"/>
      <c r="CJ10" s="506"/>
      <c r="CK10" s="506"/>
      <c r="CL10" s="506"/>
      <c r="CM10" s="506"/>
      <c r="CN10" s="506"/>
      <c r="CO10" s="506"/>
      <c r="CP10" s="506"/>
      <c r="CQ10" s="506"/>
      <c r="CR10" s="506"/>
      <c r="CS10" s="506" t="s">
        <v>1546</v>
      </c>
    </row>
    <row r="11" spans="1:97" ht="15.75">
      <c r="A11" s="687" t="s">
        <v>1564</v>
      </c>
      <c r="B11" s="688" t="s">
        <v>1546</v>
      </c>
      <c r="C11" s="506" t="s">
        <v>1546</v>
      </c>
      <c r="D11" s="506" t="s">
        <v>1546</v>
      </c>
      <c r="E11" s="506" t="s">
        <v>1546</v>
      </c>
      <c r="F11" s="506" t="s">
        <v>1546</v>
      </c>
      <c r="G11" s="506" t="s">
        <v>1546</v>
      </c>
      <c r="H11" s="506" t="s">
        <v>1546</v>
      </c>
      <c r="I11" s="506" t="s">
        <v>1546</v>
      </c>
      <c r="J11" s="506" t="s">
        <v>1565</v>
      </c>
      <c r="K11" s="506" t="s">
        <v>1549</v>
      </c>
      <c r="L11" s="506" t="s">
        <v>1546</v>
      </c>
      <c r="M11" s="506" t="s">
        <v>1549</v>
      </c>
      <c r="N11" s="506" t="s">
        <v>1546</v>
      </c>
      <c r="O11" s="506" t="s">
        <v>1548</v>
      </c>
      <c r="P11" s="690" t="s">
        <v>1546</v>
      </c>
      <c r="Q11" s="506" t="s">
        <v>1546</v>
      </c>
      <c r="R11" s="506" t="s">
        <v>1546</v>
      </c>
      <c r="S11" s="506" t="s">
        <v>1549</v>
      </c>
      <c r="T11" s="506" t="s">
        <v>1549</v>
      </c>
      <c r="U11" s="690" t="s">
        <v>1549</v>
      </c>
      <c r="V11" s="506" t="s">
        <v>1546</v>
      </c>
      <c r="W11" s="506" t="s">
        <v>1546</v>
      </c>
      <c r="X11" s="506" t="s">
        <v>1546</v>
      </c>
      <c r="Y11" s="506" t="s">
        <v>1546</v>
      </c>
      <c r="Z11" s="506" t="s">
        <v>1546</v>
      </c>
      <c r="AA11" s="506" t="s">
        <v>1546</v>
      </c>
      <c r="AB11" s="506" t="s">
        <v>1546</v>
      </c>
      <c r="AC11" s="506" t="s">
        <v>1546</v>
      </c>
      <c r="AD11" s="506" t="s">
        <v>1549</v>
      </c>
      <c r="AE11" s="717"/>
      <c r="AF11" s="506" t="s">
        <v>1546</v>
      </c>
      <c r="AG11" s="506" t="s">
        <v>1546</v>
      </c>
      <c r="AH11" s="506" t="s">
        <v>1546</v>
      </c>
      <c r="AI11" s="506" t="s">
        <v>1546</v>
      </c>
      <c r="AJ11" s="506" t="s">
        <v>1546</v>
      </c>
      <c r="AK11" s="506" t="s">
        <v>1546</v>
      </c>
      <c r="AL11" s="717"/>
      <c r="AM11" s="506" t="s">
        <v>1546</v>
      </c>
      <c r="AN11" s="506" t="s">
        <v>1546</v>
      </c>
      <c r="AO11" s="506" t="s">
        <v>1546</v>
      </c>
      <c r="AP11" s="717"/>
      <c r="AQ11" s="506" t="s">
        <v>1546</v>
      </c>
      <c r="AR11" s="506" t="s">
        <v>1546</v>
      </c>
      <c r="AS11" s="717"/>
      <c r="AT11" s="506" t="s">
        <v>1546</v>
      </c>
      <c r="AU11" s="506" t="s">
        <v>1549</v>
      </c>
      <c r="AV11" s="506" t="s">
        <v>1549</v>
      </c>
      <c r="AW11" s="506" t="s">
        <v>1546</v>
      </c>
      <c r="AX11" s="506" t="s">
        <v>1546</v>
      </c>
      <c r="AY11" s="717"/>
      <c r="AZ11" s="506" t="s">
        <v>1549</v>
      </c>
      <c r="BA11" s="506" t="s">
        <v>1546</v>
      </c>
      <c r="BB11" s="506" t="s">
        <v>1546</v>
      </c>
      <c r="BC11" s="506" t="s">
        <v>1546</v>
      </c>
      <c r="BD11" s="506" t="s">
        <v>1546</v>
      </c>
      <c r="BE11" s="506" t="s">
        <v>1549</v>
      </c>
      <c r="BF11" s="506" t="s">
        <v>1549</v>
      </c>
      <c r="BG11" s="506" t="s">
        <v>1549</v>
      </c>
      <c r="BH11" s="506" t="s">
        <v>1546</v>
      </c>
      <c r="BI11" s="690" t="s">
        <v>1546</v>
      </c>
      <c r="BJ11" s="717"/>
      <c r="BK11" s="690" t="s">
        <v>1546</v>
      </c>
      <c r="BL11" s="690" t="s">
        <v>1546</v>
      </c>
      <c r="BM11" s="506" t="s">
        <v>1546</v>
      </c>
      <c r="BN11" s="690" t="s">
        <v>1546</v>
      </c>
      <c r="BO11" s="506" t="s">
        <v>1549</v>
      </c>
      <c r="BP11" s="506" t="s">
        <v>1546</v>
      </c>
      <c r="BQ11" s="506" t="s">
        <v>1546</v>
      </c>
      <c r="BR11" s="506" t="s">
        <v>1566</v>
      </c>
      <c r="BS11" s="506" t="s">
        <v>1546</v>
      </c>
      <c r="BT11" s="506" t="s">
        <v>1546</v>
      </c>
      <c r="BU11" s="506" t="s">
        <v>1546</v>
      </c>
      <c r="BV11" s="506" t="s">
        <v>1546</v>
      </c>
      <c r="BW11" s="506" t="s">
        <v>1546</v>
      </c>
      <c r="BX11" s="506" t="s">
        <v>1546</v>
      </c>
      <c r="BY11" s="506" t="s">
        <v>1546</v>
      </c>
      <c r="BZ11" s="506" t="s">
        <v>1546</v>
      </c>
      <c r="CA11" s="506" t="s">
        <v>1546</v>
      </c>
      <c r="CB11" s="506" t="s">
        <v>1549</v>
      </c>
      <c r="CC11" s="506" t="s">
        <v>1549</v>
      </c>
      <c r="CD11" s="506" t="s">
        <v>1546</v>
      </c>
      <c r="CE11" s="506" t="s">
        <v>1546</v>
      </c>
      <c r="CF11" s="506" t="s">
        <v>1546</v>
      </c>
      <c r="CG11" s="506"/>
      <c r="CH11" s="506"/>
      <c r="CI11" s="717"/>
      <c r="CJ11" s="506"/>
      <c r="CK11" s="506"/>
      <c r="CL11" s="506"/>
      <c r="CM11" s="506"/>
      <c r="CN11" s="506"/>
      <c r="CO11" s="506"/>
      <c r="CP11" s="506"/>
      <c r="CQ11" s="506"/>
      <c r="CR11" s="506"/>
      <c r="CS11" s="506" t="s">
        <v>1546</v>
      </c>
    </row>
    <row r="12" spans="1:97" ht="15.75">
      <c r="A12" s="687" t="s">
        <v>711</v>
      </c>
      <c r="B12" s="688" t="s">
        <v>1546</v>
      </c>
      <c r="C12" s="506" t="s">
        <v>1549</v>
      </c>
      <c r="D12" s="506" t="s">
        <v>1546</v>
      </c>
      <c r="E12" s="506" t="s">
        <v>1546</v>
      </c>
      <c r="F12" s="506" t="s">
        <v>1549</v>
      </c>
      <c r="G12" s="506" t="s">
        <v>1549</v>
      </c>
      <c r="H12" s="506" t="s">
        <v>1546</v>
      </c>
      <c r="I12" s="506" t="s">
        <v>1549</v>
      </c>
      <c r="J12" s="506" t="s">
        <v>1546</v>
      </c>
      <c r="K12" s="506" t="s">
        <v>1549</v>
      </c>
      <c r="L12" s="506" t="s">
        <v>1546</v>
      </c>
      <c r="M12" s="506" t="s">
        <v>1549</v>
      </c>
      <c r="N12" s="506" t="s">
        <v>1549</v>
      </c>
      <c r="O12" s="506" t="s">
        <v>1548</v>
      </c>
      <c r="P12" s="690" t="s">
        <v>1546</v>
      </c>
      <c r="Q12" s="506" t="s">
        <v>1549</v>
      </c>
      <c r="R12" s="506" t="s">
        <v>1549</v>
      </c>
      <c r="S12" s="506" t="s">
        <v>1549</v>
      </c>
      <c r="T12" s="506" t="s">
        <v>1549</v>
      </c>
      <c r="U12" s="690" t="s">
        <v>1549</v>
      </c>
      <c r="V12" s="506" t="s">
        <v>1549</v>
      </c>
      <c r="W12" s="506" t="s">
        <v>1546</v>
      </c>
      <c r="X12" s="506" t="s">
        <v>1549</v>
      </c>
      <c r="Y12" s="506" t="s">
        <v>1549</v>
      </c>
      <c r="Z12" s="506" t="s">
        <v>1546</v>
      </c>
      <c r="AA12" s="506" t="s">
        <v>1549</v>
      </c>
      <c r="AB12" s="506" t="s">
        <v>1549</v>
      </c>
      <c r="AC12" s="506" t="s">
        <v>1546</v>
      </c>
      <c r="AD12" s="506" t="s">
        <v>1549</v>
      </c>
      <c r="AE12" s="717"/>
      <c r="AF12" s="506" t="s">
        <v>1549</v>
      </c>
      <c r="AG12" s="506" t="s">
        <v>1549</v>
      </c>
      <c r="AH12" s="506" t="s">
        <v>1549</v>
      </c>
      <c r="AI12" s="506" t="s">
        <v>1549</v>
      </c>
      <c r="AJ12" s="506" t="s">
        <v>1546</v>
      </c>
      <c r="AK12" s="506" t="s">
        <v>1546</v>
      </c>
      <c r="AL12" s="717"/>
      <c r="AM12" s="506" t="s">
        <v>1549</v>
      </c>
      <c r="AN12" s="506" t="s">
        <v>1549</v>
      </c>
      <c r="AO12" s="506" t="s">
        <v>1549</v>
      </c>
      <c r="AP12" s="717"/>
      <c r="AQ12" s="506" t="s">
        <v>1549</v>
      </c>
      <c r="AR12" s="506" t="s">
        <v>1549</v>
      </c>
      <c r="AS12" s="717"/>
      <c r="AT12" s="506" t="s">
        <v>1549</v>
      </c>
      <c r="AU12" s="506" t="s">
        <v>1549</v>
      </c>
      <c r="AV12" s="506" t="s">
        <v>1546</v>
      </c>
      <c r="AW12" s="506" t="s">
        <v>1546</v>
      </c>
      <c r="AX12" s="506" t="s">
        <v>1549</v>
      </c>
      <c r="AY12" s="717"/>
      <c r="AZ12" s="506" t="s">
        <v>1549</v>
      </c>
      <c r="BA12" s="506" t="s">
        <v>1549</v>
      </c>
      <c r="BB12" s="506" t="s">
        <v>1549</v>
      </c>
      <c r="BC12" s="506" t="s">
        <v>1546</v>
      </c>
      <c r="BD12" s="506" t="s">
        <v>1549</v>
      </c>
      <c r="BE12" s="506" t="s">
        <v>1546</v>
      </c>
      <c r="BF12" s="506" t="s">
        <v>1549</v>
      </c>
      <c r="BG12" s="506" t="s">
        <v>1549</v>
      </c>
      <c r="BH12" s="506" t="s">
        <v>1546</v>
      </c>
      <c r="BI12" s="690" t="s">
        <v>1549</v>
      </c>
      <c r="BJ12" s="717"/>
      <c r="BK12" s="690" t="s">
        <v>1549</v>
      </c>
      <c r="BL12" s="690" t="s">
        <v>1549</v>
      </c>
      <c r="BM12" s="506" t="s">
        <v>1546</v>
      </c>
      <c r="BN12" s="690" t="s">
        <v>1549</v>
      </c>
      <c r="BO12" s="506" t="s">
        <v>1549</v>
      </c>
      <c r="BP12" s="506" t="s">
        <v>1549</v>
      </c>
      <c r="BQ12" s="506" t="s">
        <v>1549</v>
      </c>
      <c r="BR12" s="506" t="s">
        <v>1546</v>
      </c>
      <c r="BS12" s="506" t="s">
        <v>1549</v>
      </c>
      <c r="BT12" s="506" t="s">
        <v>1549</v>
      </c>
      <c r="BU12" s="506" t="s">
        <v>1546</v>
      </c>
      <c r="BV12" s="506" t="s">
        <v>1546</v>
      </c>
      <c r="BW12" s="506" t="s">
        <v>1549</v>
      </c>
      <c r="BX12" s="506" t="s">
        <v>1549</v>
      </c>
      <c r="BY12" s="506" t="s">
        <v>1546</v>
      </c>
      <c r="BZ12" s="506" t="s">
        <v>1549</v>
      </c>
      <c r="CA12" s="506" t="s">
        <v>1549</v>
      </c>
      <c r="CB12" s="506" t="s">
        <v>1546</v>
      </c>
      <c r="CC12" s="506" t="s">
        <v>1549</v>
      </c>
      <c r="CD12" s="506" t="s">
        <v>1549</v>
      </c>
      <c r="CE12" s="506" t="s">
        <v>1546</v>
      </c>
      <c r="CF12" s="506" t="s">
        <v>1549</v>
      </c>
      <c r="CG12" s="506"/>
      <c r="CH12" s="506"/>
      <c r="CI12" s="717"/>
      <c r="CJ12" s="506"/>
      <c r="CK12" s="506"/>
      <c r="CL12" s="506"/>
      <c r="CM12" s="506"/>
      <c r="CN12" s="506"/>
      <c r="CO12" s="506"/>
      <c r="CP12" s="506"/>
      <c r="CQ12" s="506"/>
      <c r="CR12" s="506"/>
      <c r="CS12" s="506" t="s">
        <v>1549</v>
      </c>
    </row>
    <row r="13" spans="1:97" ht="15.75">
      <c r="A13" s="687" t="s">
        <v>897</v>
      </c>
      <c r="B13" s="688" t="s">
        <v>1546</v>
      </c>
      <c r="C13" s="506" t="s">
        <v>1549</v>
      </c>
      <c r="D13" s="506" t="s">
        <v>1549</v>
      </c>
      <c r="E13" s="506" t="s">
        <v>1549</v>
      </c>
      <c r="F13" s="506" t="s">
        <v>1549</v>
      </c>
      <c r="G13" s="506" t="s">
        <v>1549</v>
      </c>
      <c r="H13" s="506" t="s">
        <v>1549</v>
      </c>
      <c r="I13" s="506" t="s">
        <v>1549</v>
      </c>
      <c r="J13" s="506" t="s">
        <v>1546</v>
      </c>
      <c r="K13" s="506" t="s">
        <v>1549</v>
      </c>
      <c r="L13" s="506" t="s">
        <v>1549</v>
      </c>
      <c r="M13" s="506" t="s">
        <v>1546</v>
      </c>
      <c r="N13" s="506" t="s">
        <v>1549</v>
      </c>
      <c r="O13" s="506" t="s">
        <v>1548</v>
      </c>
      <c r="P13" s="690" t="s">
        <v>1549</v>
      </c>
      <c r="Q13" s="506" t="s">
        <v>1549</v>
      </c>
      <c r="R13" s="506" t="s">
        <v>1549</v>
      </c>
      <c r="S13" s="506" t="s">
        <v>1549</v>
      </c>
      <c r="T13" s="506" t="s">
        <v>1549</v>
      </c>
      <c r="U13" s="690" t="s">
        <v>1549</v>
      </c>
      <c r="V13" s="506" t="s">
        <v>1546</v>
      </c>
      <c r="W13" s="506" t="s">
        <v>1549</v>
      </c>
      <c r="X13" s="506" t="s">
        <v>1549</v>
      </c>
      <c r="Y13" s="506" t="s">
        <v>1549</v>
      </c>
      <c r="Z13" s="506" t="s">
        <v>1549</v>
      </c>
      <c r="AA13" s="506" t="s">
        <v>1549</v>
      </c>
      <c r="AB13" s="506" t="s">
        <v>1549</v>
      </c>
      <c r="AC13" s="506" t="s">
        <v>1546</v>
      </c>
      <c r="AD13" s="506" t="s">
        <v>1549</v>
      </c>
      <c r="AE13" s="715"/>
      <c r="AF13" s="506" t="s">
        <v>1549</v>
      </c>
      <c r="AG13" s="506" t="s">
        <v>1549</v>
      </c>
      <c r="AH13" s="506" t="s">
        <v>1549</v>
      </c>
      <c r="AI13" s="506" t="s">
        <v>1546</v>
      </c>
      <c r="AJ13" s="506" t="s">
        <v>1549</v>
      </c>
      <c r="AK13" s="506" t="s">
        <v>1549</v>
      </c>
      <c r="AL13" s="715"/>
      <c r="AM13" s="506" t="s">
        <v>1549</v>
      </c>
      <c r="AN13" s="506" t="s">
        <v>1549</v>
      </c>
      <c r="AO13" s="506" t="s">
        <v>1549</v>
      </c>
      <c r="AP13" s="715"/>
      <c r="AQ13" s="506" t="s">
        <v>1549</v>
      </c>
      <c r="AR13" s="506" t="s">
        <v>1549</v>
      </c>
      <c r="AS13" s="715"/>
      <c r="AT13" s="506" t="s">
        <v>1549</v>
      </c>
      <c r="AU13" s="506" t="s">
        <v>1549</v>
      </c>
      <c r="AV13" s="506" t="s">
        <v>1549</v>
      </c>
      <c r="AW13" s="506" t="s">
        <v>1549</v>
      </c>
      <c r="AX13" s="506" t="s">
        <v>1549</v>
      </c>
      <c r="AY13" s="715"/>
      <c r="AZ13" s="506" t="s">
        <v>1549</v>
      </c>
      <c r="BA13" s="506" t="s">
        <v>1549</v>
      </c>
      <c r="BB13" s="506" t="s">
        <v>1549</v>
      </c>
      <c r="BC13" s="506" t="s">
        <v>1549</v>
      </c>
      <c r="BD13" s="506" t="s">
        <v>1549</v>
      </c>
      <c r="BE13" s="506" t="s">
        <v>1549</v>
      </c>
      <c r="BF13" s="506" t="s">
        <v>1549</v>
      </c>
      <c r="BG13" s="506" t="s">
        <v>1549</v>
      </c>
      <c r="BH13" s="506" t="s">
        <v>1549</v>
      </c>
      <c r="BI13" s="690" t="s">
        <v>1549</v>
      </c>
      <c r="BJ13" s="715"/>
      <c r="BK13" s="690" t="s">
        <v>1549</v>
      </c>
      <c r="BL13" s="690" t="s">
        <v>1549</v>
      </c>
      <c r="BM13" s="506" t="s">
        <v>1549</v>
      </c>
      <c r="BN13" s="690" t="s">
        <v>1549</v>
      </c>
      <c r="BO13" s="506" t="s">
        <v>1549</v>
      </c>
      <c r="BP13" s="506" t="s">
        <v>1549</v>
      </c>
      <c r="BQ13" s="506" t="s">
        <v>1549</v>
      </c>
      <c r="BR13" s="506" t="s">
        <v>1566</v>
      </c>
      <c r="BS13" s="506" t="s">
        <v>1549</v>
      </c>
      <c r="BT13" s="506" t="s">
        <v>1549</v>
      </c>
      <c r="BU13" s="506" t="s">
        <v>1549</v>
      </c>
      <c r="BV13" s="506" t="s">
        <v>1549</v>
      </c>
      <c r="BW13" s="506" t="s">
        <v>1549</v>
      </c>
      <c r="BX13" s="506" t="s">
        <v>1549</v>
      </c>
      <c r="BY13" s="506" t="s">
        <v>1549</v>
      </c>
      <c r="BZ13" s="506" t="s">
        <v>1549</v>
      </c>
      <c r="CA13" s="506" t="s">
        <v>1549</v>
      </c>
      <c r="CB13" s="506" t="s">
        <v>1549</v>
      </c>
      <c r="CC13" s="506" t="s">
        <v>1549</v>
      </c>
      <c r="CD13" s="506" t="s">
        <v>1546</v>
      </c>
      <c r="CE13" s="506" t="s">
        <v>1546</v>
      </c>
      <c r="CF13" s="506" t="s">
        <v>1546</v>
      </c>
      <c r="CG13" s="506"/>
      <c r="CH13" s="506"/>
      <c r="CI13" s="715"/>
      <c r="CJ13" s="506"/>
      <c r="CK13" s="506"/>
      <c r="CL13" s="506"/>
      <c r="CM13" s="506"/>
      <c r="CN13" s="506"/>
      <c r="CO13" s="506"/>
      <c r="CP13" s="506"/>
      <c r="CQ13" s="506"/>
      <c r="CR13" s="506"/>
      <c r="CS13" s="506" t="s">
        <v>1549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692" t="s">
        <v>1567</v>
      </c>
      <c r="B1" s="693" t="s">
        <v>1568</v>
      </c>
      <c r="C1" s="693" t="s">
        <v>1569</v>
      </c>
      <c r="D1" s="693" t="s">
        <v>1570</v>
      </c>
      <c r="E1" s="693" t="s">
        <v>1571</v>
      </c>
      <c r="F1" s="694" t="s">
        <v>1572</v>
      </c>
    </row>
    <row r="2" spans="1:27" ht="15" customHeight="1">
      <c r="A2" s="695">
        <v>45793</v>
      </c>
      <c r="B2" s="696">
        <v>0.38333333333333336</v>
      </c>
      <c r="C2" s="696">
        <v>0.46527777777777779</v>
      </c>
      <c r="D2" s="696">
        <f t="shared" ref="D2:D4" si="0">C2-B2</f>
        <v>8.1944444444444431E-2</v>
      </c>
      <c r="E2" s="697" t="s">
        <v>1573</v>
      </c>
      <c r="F2" s="698" t="s">
        <v>1574</v>
      </c>
      <c r="G2" s="699"/>
      <c r="H2" s="699"/>
      <c r="I2" s="699"/>
      <c r="J2" s="699"/>
      <c r="K2" s="699"/>
      <c r="L2" s="699"/>
      <c r="M2" s="699"/>
      <c r="N2" s="699"/>
      <c r="O2" s="699"/>
      <c r="P2" s="699"/>
      <c r="Q2" s="699"/>
      <c r="R2" s="699"/>
      <c r="S2" s="699"/>
      <c r="T2" s="699"/>
      <c r="U2" s="699"/>
      <c r="V2" s="699"/>
      <c r="W2" s="699"/>
      <c r="X2" s="699"/>
      <c r="Y2" s="699"/>
      <c r="Z2" s="699"/>
      <c r="AA2" s="699"/>
    </row>
    <row r="3" spans="1:27" ht="15" customHeight="1">
      <c r="A3" s="695">
        <v>45817</v>
      </c>
      <c r="B3" s="700">
        <v>0.44236111111111109</v>
      </c>
      <c r="C3" s="700">
        <v>0.45069444444444445</v>
      </c>
      <c r="D3" s="696">
        <f t="shared" si="0"/>
        <v>8.3333333333333592E-3</v>
      </c>
      <c r="E3" s="701" t="s">
        <v>1573</v>
      </c>
      <c r="F3" s="702" t="s">
        <v>1575</v>
      </c>
    </row>
    <row r="4" spans="1:27" ht="15" customHeight="1">
      <c r="A4" s="703">
        <v>45817</v>
      </c>
      <c r="B4" s="704">
        <v>0.63263888888888886</v>
      </c>
      <c r="C4" s="704">
        <v>0.6479166666666667</v>
      </c>
      <c r="D4" s="705">
        <f t="shared" si="0"/>
        <v>1.5277777777777835E-2</v>
      </c>
      <c r="E4" s="706" t="s">
        <v>1573</v>
      </c>
      <c r="F4" s="707" t="s">
        <v>1576</v>
      </c>
    </row>
    <row r="5" spans="1:27" ht="15" customHeight="1">
      <c r="A5" s="708"/>
      <c r="B5" s="709"/>
      <c r="C5" s="709"/>
      <c r="D5" s="709"/>
      <c r="E5" s="709"/>
      <c r="F5" s="710"/>
    </row>
    <row r="6" spans="1:27" ht="15" customHeight="1">
      <c r="A6" s="708"/>
      <c r="B6" s="709"/>
      <c r="C6" s="709"/>
      <c r="D6" s="709"/>
      <c r="E6" s="709"/>
      <c r="F6" s="710"/>
    </row>
    <row r="7" spans="1:27" ht="15" customHeight="1">
      <c r="A7" s="708"/>
      <c r="B7" s="709"/>
      <c r="C7" s="709"/>
      <c r="D7" s="709"/>
      <c r="E7" s="709"/>
      <c r="F7" s="710"/>
    </row>
    <row r="8" spans="1:27" ht="15" customHeight="1">
      <c r="A8" s="708"/>
      <c r="B8" s="709"/>
      <c r="C8" s="709"/>
      <c r="D8" s="709"/>
      <c r="E8" s="709"/>
      <c r="F8" s="710"/>
    </row>
    <row r="9" spans="1:27" ht="15" customHeight="1">
      <c r="A9" s="708"/>
      <c r="B9" s="709"/>
      <c r="C9" s="709"/>
      <c r="D9" s="709"/>
      <c r="E9" s="709"/>
      <c r="F9" s="710"/>
    </row>
    <row r="10" spans="1:27" ht="15" customHeight="1">
      <c r="A10" s="708"/>
      <c r="B10" s="709"/>
      <c r="C10" s="709"/>
      <c r="D10" s="709"/>
      <c r="E10" s="709"/>
      <c r="F10" s="710"/>
    </row>
    <row r="11" spans="1:27" ht="15" customHeight="1">
      <c r="A11" s="708"/>
      <c r="B11" s="709"/>
      <c r="C11" s="709"/>
      <c r="D11" s="709"/>
      <c r="E11" s="709"/>
      <c r="F11" s="710"/>
    </row>
    <row r="12" spans="1:27" ht="15" customHeight="1">
      <c r="A12" s="708"/>
      <c r="B12" s="709"/>
      <c r="C12" s="709"/>
      <c r="D12" s="709"/>
      <c r="E12" s="709"/>
      <c r="F12" s="710"/>
    </row>
    <row r="13" spans="1:27" ht="15" customHeight="1">
      <c r="A13" s="708"/>
      <c r="B13" s="709"/>
      <c r="C13" s="709"/>
      <c r="D13" s="709"/>
      <c r="E13" s="709"/>
      <c r="F13" s="710"/>
    </row>
    <row r="14" spans="1:27" ht="15" customHeight="1">
      <c r="A14" s="708"/>
      <c r="B14" s="709"/>
      <c r="C14" s="709"/>
      <c r="D14" s="709"/>
      <c r="E14" s="709"/>
      <c r="F14" s="710"/>
    </row>
    <row r="15" spans="1:27" ht="15" customHeight="1">
      <c r="B15" s="679"/>
      <c r="C15" s="679"/>
      <c r="D15" s="679"/>
      <c r="E15" s="679"/>
      <c r="F15" s="711"/>
    </row>
    <row r="16" spans="1:27" ht="15" customHeight="1">
      <c r="B16" s="679"/>
      <c r="C16" s="679"/>
      <c r="D16" s="679"/>
      <c r="E16" s="679"/>
      <c r="F16" s="711"/>
    </row>
    <row r="17" spans="2:6" ht="15" customHeight="1">
      <c r="B17" s="679"/>
      <c r="C17" s="679"/>
      <c r="D17" s="679"/>
      <c r="E17" s="679"/>
      <c r="F17" s="711"/>
    </row>
    <row r="18" spans="2:6" ht="15" customHeight="1">
      <c r="B18" s="679"/>
      <c r="C18" s="679"/>
      <c r="D18" s="679"/>
      <c r="E18" s="679"/>
      <c r="F18" s="711"/>
    </row>
    <row r="19" spans="2:6" ht="15" customHeight="1">
      <c r="B19" s="679"/>
      <c r="C19" s="679"/>
      <c r="D19" s="679"/>
      <c r="E19" s="679"/>
      <c r="F19" s="711"/>
    </row>
    <row r="20" spans="2:6" ht="15" customHeight="1">
      <c r="B20" s="679"/>
      <c r="C20" s="679"/>
      <c r="D20" s="679"/>
      <c r="E20" s="679"/>
      <c r="F20" s="711"/>
    </row>
    <row r="21" spans="2:6" ht="15" customHeight="1">
      <c r="B21" s="679"/>
      <c r="C21" s="679"/>
      <c r="D21" s="679"/>
      <c r="E21" s="679"/>
      <c r="F21" s="711"/>
    </row>
    <row r="22" spans="2:6" ht="15" customHeight="1">
      <c r="B22" s="679"/>
      <c r="C22" s="679"/>
      <c r="D22" s="679"/>
      <c r="E22" s="679"/>
      <c r="F22" s="711"/>
    </row>
    <row r="23" spans="2:6" ht="15" customHeight="1">
      <c r="B23" s="679"/>
      <c r="C23" s="679"/>
      <c r="D23" s="679"/>
      <c r="E23" s="679"/>
      <c r="F23" s="711"/>
    </row>
    <row r="24" spans="2:6" ht="15" customHeight="1">
      <c r="B24" s="679"/>
      <c r="C24" s="679"/>
      <c r="D24" s="679"/>
      <c r="E24" s="679"/>
      <c r="F24" s="711"/>
    </row>
    <row r="25" spans="2:6" ht="15" customHeight="1">
      <c r="B25" s="679"/>
      <c r="C25" s="679"/>
      <c r="D25" s="679"/>
      <c r="E25" s="679"/>
      <c r="F25" s="711"/>
    </row>
    <row r="26" spans="2:6" ht="15" customHeight="1">
      <c r="B26" s="679"/>
      <c r="C26" s="679"/>
      <c r="D26" s="679"/>
      <c r="E26" s="679"/>
      <c r="F26" s="711"/>
    </row>
    <row r="27" spans="2:6" ht="15" customHeight="1">
      <c r="B27" s="679"/>
      <c r="C27" s="679"/>
      <c r="D27" s="679"/>
      <c r="E27" s="679"/>
      <c r="F27" s="711"/>
    </row>
    <row r="28" spans="2:6" ht="15" customHeight="1">
      <c r="B28" s="679"/>
      <c r="C28" s="679"/>
      <c r="D28" s="679"/>
      <c r="E28" s="679"/>
      <c r="F28" s="711"/>
    </row>
    <row r="29" spans="2:6" ht="15" customHeight="1">
      <c r="B29" s="679"/>
      <c r="C29" s="679"/>
      <c r="D29" s="679"/>
      <c r="E29" s="679"/>
      <c r="F29" s="711"/>
    </row>
    <row r="30" spans="2:6" ht="15" customHeight="1">
      <c r="B30" s="679"/>
      <c r="C30" s="679"/>
      <c r="D30" s="679"/>
      <c r="E30" s="679"/>
      <c r="F30" s="711"/>
    </row>
    <row r="31" spans="2:6" ht="15" customHeight="1">
      <c r="B31" s="679"/>
      <c r="C31" s="679"/>
      <c r="D31" s="679"/>
      <c r="E31" s="679"/>
      <c r="F31" s="711"/>
    </row>
    <row r="32" spans="2:6" ht="15" customHeight="1">
      <c r="B32" s="679"/>
      <c r="C32" s="679"/>
      <c r="D32" s="679"/>
      <c r="E32" s="679"/>
      <c r="F32" s="711"/>
    </row>
    <row r="33" spans="2:6" ht="15" customHeight="1">
      <c r="B33" s="679"/>
      <c r="C33" s="679"/>
      <c r="D33" s="679"/>
      <c r="E33" s="679"/>
      <c r="F33" s="711"/>
    </row>
    <row r="34" spans="2:6" ht="15" customHeight="1">
      <c r="B34" s="679"/>
      <c r="C34" s="679"/>
      <c r="D34" s="679"/>
      <c r="E34" s="679"/>
      <c r="F34" s="711"/>
    </row>
    <row r="35" spans="2:6" ht="15" customHeight="1">
      <c r="B35" s="679"/>
      <c r="C35" s="679"/>
      <c r="D35" s="679"/>
      <c r="E35" s="679"/>
      <c r="F35" s="711"/>
    </row>
    <row r="36" spans="2:6" ht="15" customHeight="1">
      <c r="B36" s="679"/>
      <c r="C36" s="679"/>
      <c r="D36" s="679"/>
      <c r="E36" s="679"/>
      <c r="F36" s="711"/>
    </row>
    <row r="37" spans="2:6" ht="15" customHeight="1">
      <c r="B37" s="679"/>
      <c r="C37" s="679"/>
      <c r="D37" s="679"/>
      <c r="E37" s="679"/>
      <c r="F37" s="711"/>
    </row>
    <row r="38" spans="2:6" ht="15" customHeight="1">
      <c r="B38" s="679"/>
      <c r="C38" s="679"/>
      <c r="D38" s="679"/>
      <c r="E38" s="679"/>
      <c r="F38" s="711"/>
    </row>
    <row r="39" spans="2:6" ht="15" customHeight="1">
      <c r="B39" s="679"/>
      <c r="C39" s="679"/>
      <c r="D39" s="679"/>
      <c r="E39" s="679"/>
      <c r="F39" s="711"/>
    </row>
    <row r="40" spans="2:6">
      <c r="B40" s="679"/>
      <c r="C40" s="679"/>
      <c r="D40" s="679"/>
      <c r="E40" s="679"/>
      <c r="F40" s="711"/>
    </row>
    <row r="41" spans="2:6">
      <c r="B41" s="679"/>
      <c r="C41" s="679"/>
      <c r="D41" s="679"/>
      <c r="E41" s="679"/>
      <c r="F41" s="711"/>
    </row>
    <row r="42" spans="2:6">
      <c r="B42" s="679"/>
      <c r="C42" s="679"/>
      <c r="D42" s="679"/>
      <c r="E42" s="679"/>
      <c r="F42" s="711"/>
    </row>
    <row r="43" spans="2:6">
      <c r="B43" s="679"/>
      <c r="C43" s="679"/>
      <c r="D43" s="679"/>
      <c r="E43" s="679"/>
      <c r="F43" s="711"/>
    </row>
    <row r="44" spans="2:6">
      <c r="B44" s="679"/>
      <c r="C44" s="679"/>
      <c r="D44" s="679"/>
      <c r="E44" s="679"/>
      <c r="F44" s="711"/>
    </row>
    <row r="45" spans="2:6">
      <c r="B45" s="679"/>
      <c r="C45" s="679"/>
      <c r="D45" s="679"/>
      <c r="E45" s="679"/>
      <c r="F45" s="711"/>
    </row>
    <row r="46" spans="2:6">
      <c r="B46" s="679"/>
      <c r="C46" s="679"/>
      <c r="D46" s="679"/>
      <c r="E46" s="679"/>
      <c r="F46" s="711"/>
    </row>
    <row r="47" spans="2:6">
      <c r="B47" s="679"/>
      <c r="C47" s="679"/>
      <c r="D47" s="679"/>
      <c r="E47" s="679"/>
      <c r="F47" s="711"/>
    </row>
    <row r="48" spans="2:6">
      <c r="B48" s="679"/>
      <c r="C48" s="679"/>
      <c r="D48" s="679"/>
      <c r="E48" s="679"/>
      <c r="F48" s="711"/>
    </row>
    <row r="49" spans="2:6">
      <c r="B49" s="679"/>
      <c r="C49" s="679"/>
      <c r="D49" s="679"/>
      <c r="E49" s="679"/>
      <c r="F49" s="711"/>
    </row>
    <row r="50" spans="2:6">
      <c r="B50" s="679"/>
      <c r="C50" s="679"/>
      <c r="D50" s="679"/>
      <c r="E50" s="679"/>
      <c r="F50" s="711"/>
    </row>
    <row r="51" spans="2:6">
      <c r="B51" s="679"/>
      <c r="C51" s="679"/>
      <c r="D51" s="679"/>
      <c r="E51" s="679"/>
      <c r="F51" s="711"/>
    </row>
    <row r="52" spans="2:6">
      <c r="B52" s="679"/>
      <c r="C52" s="679"/>
      <c r="D52" s="679"/>
      <c r="E52" s="679"/>
      <c r="F52" s="711"/>
    </row>
    <row r="53" spans="2:6">
      <c r="B53" s="679"/>
      <c r="C53" s="679"/>
      <c r="D53" s="679"/>
      <c r="E53" s="679"/>
      <c r="F53" s="711"/>
    </row>
    <row r="54" spans="2:6">
      <c r="B54" s="679"/>
      <c r="C54" s="679"/>
      <c r="D54" s="679"/>
      <c r="E54" s="679"/>
      <c r="F54" s="711"/>
    </row>
    <row r="55" spans="2:6">
      <c r="B55" s="679"/>
      <c r="C55" s="679"/>
      <c r="D55" s="679"/>
      <c r="E55" s="679"/>
      <c r="F55" s="711"/>
    </row>
    <row r="56" spans="2:6">
      <c r="B56" s="679"/>
      <c r="C56" s="679"/>
      <c r="D56" s="679"/>
      <c r="E56" s="679"/>
      <c r="F56" s="711"/>
    </row>
    <row r="57" spans="2:6">
      <c r="B57" s="679"/>
      <c r="C57" s="679"/>
      <c r="D57" s="679"/>
      <c r="E57" s="679"/>
      <c r="F57" s="711"/>
    </row>
    <row r="58" spans="2:6">
      <c r="B58" s="679"/>
      <c r="C58" s="679"/>
      <c r="D58" s="679"/>
      <c r="E58" s="679"/>
      <c r="F58" s="711"/>
    </row>
    <row r="59" spans="2:6">
      <c r="B59" s="679"/>
      <c r="C59" s="679"/>
      <c r="D59" s="679"/>
      <c r="E59" s="679"/>
      <c r="F59" s="711"/>
    </row>
    <row r="60" spans="2:6">
      <c r="B60" s="679"/>
      <c r="C60" s="679"/>
      <c r="D60" s="679"/>
      <c r="E60" s="679"/>
      <c r="F60" s="711"/>
    </row>
    <row r="61" spans="2:6">
      <c r="B61" s="679"/>
      <c r="C61" s="679"/>
      <c r="D61" s="679"/>
      <c r="E61" s="679"/>
      <c r="F61" s="711"/>
    </row>
    <row r="62" spans="2:6">
      <c r="B62" s="679"/>
      <c r="C62" s="679"/>
      <c r="D62" s="679"/>
      <c r="E62" s="679"/>
      <c r="F62" s="711"/>
    </row>
    <row r="63" spans="2:6">
      <c r="B63" s="679"/>
      <c r="C63" s="679"/>
      <c r="D63" s="679"/>
      <c r="E63" s="679"/>
      <c r="F63" s="711"/>
    </row>
    <row r="64" spans="2:6">
      <c r="B64" s="679"/>
      <c r="C64" s="679"/>
      <c r="D64" s="679"/>
      <c r="E64" s="679"/>
      <c r="F64" s="711"/>
    </row>
    <row r="65" spans="2:6">
      <c r="B65" s="679"/>
      <c r="C65" s="679"/>
      <c r="D65" s="679"/>
      <c r="E65" s="679"/>
      <c r="F65" s="711"/>
    </row>
    <row r="66" spans="2:6">
      <c r="B66" s="679"/>
      <c r="C66" s="679"/>
      <c r="D66" s="679"/>
      <c r="E66" s="679"/>
      <c r="F66" s="711"/>
    </row>
    <row r="67" spans="2:6">
      <c r="B67" s="679"/>
      <c r="C67" s="679"/>
      <c r="D67" s="679"/>
      <c r="E67" s="679"/>
      <c r="F67" s="711"/>
    </row>
    <row r="68" spans="2:6">
      <c r="B68" s="679"/>
      <c r="C68" s="679"/>
      <c r="D68" s="679"/>
      <c r="E68" s="679"/>
      <c r="F68" s="711"/>
    </row>
    <row r="69" spans="2:6">
      <c r="B69" s="679"/>
      <c r="C69" s="679"/>
      <c r="D69" s="679"/>
      <c r="E69" s="679"/>
      <c r="F69" s="711"/>
    </row>
    <row r="70" spans="2:6">
      <c r="B70" s="679"/>
      <c r="C70" s="679"/>
      <c r="D70" s="679"/>
      <c r="E70" s="679"/>
      <c r="F70" s="711"/>
    </row>
    <row r="71" spans="2:6">
      <c r="B71" s="679"/>
      <c r="C71" s="679"/>
      <c r="D71" s="679"/>
      <c r="E71" s="679"/>
      <c r="F71" s="711"/>
    </row>
    <row r="72" spans="2:6">
      <c r="B72" s="679"/>
      <c r="C72" s="679"/>
      <c r="D72" s="679"/>
      <c r="E72" s="679"/>
      <c r="F72" s="711"/>
    </row>
    <row r="73" spans="2:6">
      <c r="B73" s="679"/>
      <c r="C73" s="679"/>
      <c r="D73" s="679"/>
      <c r="E73" s="679"/>
      <c r="F73" s="711"/>
    </row>
    <row r="74" spans="2:6">
      <c r="B74" s="679"/>
      <c r="C74" s="679"/>
      <c r="D74" s="679"/>
      <c r="E74" s="679"/>
      <c r="F74" s="711"/>
    </row>
    <row r="75" spans="2:6">
      <c r="B75" s="679"/>
      <c r="C75" s="679"/>
      <c r="D75" s="679"/>
      <c r="E75" s="679"/>
      <c r="F75" s="711"/>
    </row>
    <row r="76" spans="2:6">
      <c r="B76" s="679"/>
      <c r="C76" s="679"/>
      <c r="D76" s="679"/>
      <c r="E76" s="679"/>
      <c r="F76" s="711"/>
    </row>
    <row r="77" spans="2:6">
      <c r="B77" s="679"/>
      <c r="C77" s="679"/>
      <c r="D77" s="679"/>
      <c r="E77" s="679"/>
      <c r="F77" s="711"/>
    </row>
    <row r="78" spans="2:6">
      <c r="B78" s="679"/>
      <c r="C78" s="679"/>
      <c r="D78" s="679"/>
      <c r="E78" s="679"/>
      <c r="F78" s="711"/>
    </row>
    <row r="79" spans="2:6">
      <c r="B79" s="679"/>
      <c r="C79" s="679"/>
      <c r="D79" s="679"/>
      <c r="E79" s="679"/>
      <c r="F79" s="711"/>
    </row>
    <row r="80" spans="2:6">
      <c r="B80" s="679"/>
      <c r="C80" s="679"/>
      <c r="D80" s="679"/>
      <c r="E80" s="679"/>
      <c r="F80" s="711"/>
    </row>
    <row r="81" spans="2:6">
      <c r="B81" s="679"/>
      <c r="C81" s="679"/>
      <c r="D81" s="679"/>
      <c r="E81" s="679"/>
      <c r="F81" s="711"/>
    </row>
    <row r="82" spans="2:6">
      <c r="B82" s="679"/>
      <c r="C82" s="679"/>
      <c r="D82" s="679"/>
      <c r="E82" s="679"/>
      <c r="F82" s="711"/>
    </row>
    <row r="83" spans="2:6">
      <c r="B83" s="679"/>
      <c r="C83" s="679"/>
      <c r="D83" s="679"/>
      <c r="E83" s="679"/>
      <c r="F83" s="711"/>
    </row>
    <row r="84" spans="2:6">
      <c r="B84" s="679"/>
      <c r="C84" s="679"/>
      <c r="D84" s="679"/>
      <c r="E84" s="679"/>
      <c r="F84" s="711"/>
    </row>
    <row r="85" spans="2:6">
      <c r="B85" s="679"/>
      <c r="C85" s="679"/>
      <c r="D85" s="679"/>
      <c r="E85" s="679"/>
      <c r="F85" s="711"/>
    </row>
    <row r="86" spans="2:6">
      <c r="B86" s="679"/>
      <c r="C86" s="679"/>
      <c r="D86" s="679"/>
      <c r="E86" s="679"/>
      <c r="F86" s="711"/>
    </row>
    <row r="87" spans="2:6">
      <c r="B87" s="679"/>
      <c r="C87" s="679"/>
      <c r="D87" s="679"/>
      <c r="E87" s="679"/>
      <c r="F87" s="711"/>
    </row>
    <row r="88" spans="2:6">
      <c r="B88" s="679"/>
      <c r="C88" s="679"/>
      <c r="D88" s="679"/>
      <c r="E88" s="679"/>
      <c r="F88" s="711"/>
    </row>
    <row r="89" spans="2:6">
      <c r="B89" s="679"/>
      <c r="C89" s="679"/>
      <c r="D89" s="679"/>
      <c r="E89" s="679"/>
      <c r="F89" s="711"/>
    </row>
    <row r="90" spans="2:6">
      <c r="B90" s="679"/>
      <c r="C90" s="679"/>
      <c r="D90" s="679"/>
      <c r="E90" s="679"/>
      <c r="F90" s="711"/>
    </row>
    <row r="91" spans="2:6">
      <c r="B91" s="679"/>
      <c r="C91" s="679"/>
      <c r="D91" s="679"/>
      <c r="E91" s="679"/>
      <c r="F91" s="711"/>
    </row>
    <row r="92" spans="2:6">
      <c r="B92" s="679"/>
      <c r="C92" s="679"/>
      <c r="D92" s="679"/>
      <c r="E92" s="679"/>
      <c r="F92" s="711"/>
    </row>
    <row r="93" spans="2:6">
      <c r="B93" s="679"/>
      <c r="C93" s="679"/>
      <c r="D93" s="679"/>
      <c r="E93" s="679"/>
      <c r="F93" s="711"/>
    </row>
    <row r="94" spans="2:6">
      <c r="B94" s="679"/>
      <c r="C94" s="679"/>
      <c r="D94" s="679"/>
      <c r="E94" s="679"/>
      <c r="F94" s="711"/>
    </row>
    <row r="95" spans="2:6">
      <c r="B95" s="679"/>
      <c r="C95" s="679"/>
      <c r="D95" s="679"/>
      <c r="E95" s="679"/>
      <c r="F95" s="711"/>
    </row>
    <row r="96" spans="2:6">
      <c r="B96" s="679"/>
      <c r="C96" s="679"/>
      <c r="D96" s="679"/>
      <c r="E96" s="679"/>
      <c r="F96" s="711"/>
    </row>
    <row r="97" spans="2:6">
      <c r="B97" s="679"/>
      <c r="C97" s="679"/>
      <c r="D97" s="679"/>
      <c r="E97" s="679"/>
      <c r="F97" s="711"/>
    </row>
    <row r="98" spans="2:6">
      <c r="B98" s="679"/>
      <c r="C98" s="679"/>
      <c r="D98" s="679"/>
      <c r="E98" s="679"/>
      <c r="F98" s="711"/>
    </row>
    <row r="99" spans="2:6">
      <c r="B99" s="679"/>
      <c r="C99" s="679"/>
      <c r="D99" s="679"/>
      <c r="E99" s="679"/>
      <c r="F99" s="711"/>
    </row>
    <row r="100" spans="2:6">
      <c r="B100" s="679"/>
      <c r="C100" s="679"/>
      <c r="D100" s="679"/>
      <c r="E100" s="679"/>
      <c r="F100" s="711"/>
    </row>
    <row r="101" spans="2:6">
      <c r="B101" s="679"/>
      <c r="C101" s="679"/>
      <c r="D101" s="679"/>
      <c r="E101" s="679"/>
      <c r="F101" s="711"/>
    </row>
    <row r="102" spans="2:6">
      <c r="B102" s="679"/>
      <c r="C102" s="679"/>
      <c r="D102" s="679"/>
      <c r="E102" s="679"/>
      <c r="F102" s="711"/>
    </row>
    <row r="103" spans="2:6">
      <c r="B103" s="679"/>
      <c r="C103" s="679"/>
      <c r="D103" s="679"/>
      <c r="E103" s="679"/>
      <c r="F103" s="711"/>
    </row>
    <row r="104" spans="2:6">
      <c r="B104" s="679"/>
      <c r="C104" s="679"/>
      <c r="D104" s="679"/>
      <c r="E104" s="679"/>
      <c r="F104" s="711"/>
    </row>
    <row r="105" spans="2:6">
      <c r="B105" s="679"/>
      <c r="C105" s="679"/>
      <c r="D105" s="679"/>
      <c r="E105" s="679"/>
      <c r="F105" s="711"/>
    </row>
    <row r="106" spans="2:6">
      <c r="B106" s="679"/>
      <c r="C106" s="679"/>
      <c r="D106" s="679"/>
      <c r="E106" s="679"/>
      <c r="F106" s="711"/>
    </row>
    <row r="107" spans="2:6">
      <c r="B107" s="679"/>
      <c r="C107" s="679"/>
      <c r="D107" s="679"/>
      <c r="E107" s="679"/>
      <c r="F107" s="711"/>
    </row>
    <row r="108" spans="2:6">
      <c r="B108" s="679"/>
      <c r="C108" s="679"/>
      <c r="D108" s="679"/>
      <c r="E108" s="679"/>
      <c r="F108" s="711"/>
    </row>
    <row r="109" spans="2:6">
      <c r="B109" s="679"/>
      <c r="C109" s="679"/>
      <c r="D109" s="679"/>
      <c r="E109" s="679"/>
      <c r="F109" s="711"/>
    </row>
    <row r="110" spans="2:6">
      <c r="B110" s="679"/>
      <c r="C110" s="679"/>
      <c r="D110" s="679"/>
      <c r="E110" s="679"/>
      <c r="F110" s="711"/>
    </row>
    <row r="111" spans="2:6">
      <c r="B111" s="679"/>
      <c r="C111" s="679"/>
      <c r="D111" s="679"/>
      <c r="E111" s="679"/>
      <c r="F111" s="711"/>
    </row>
    <row r="112" spans="2:6">
      <c r="B112" s="679"/>
      <c r="C112" s="679"/>
      <c r="D112" s="679"/>
      <c r="E112" s="679"/>
      <c r="F112" s="711"/>
    </row>
    <row r="113" spans="2:6">
      <c r="B113" s="679"/>
      <c r="C113" s="679"/>
      <c r="D113" s="679"/>
      <c r="E113" s="679"/>
      <c r="F113" s="711"/>
    </row>
    <row r="114" spans="2:6">
      <c r="B114" s="679"/>
      <c r="C114" s="679"/>
      <c r="D114" s="679"/>
      <c r="E114" s="679"/>
      <c r="F114" s="711"/>
    </row>
    <row r="115" spans="2:6">
      <c r="B115" s="679"/>
      <c r="C115" s="679"/>
      <c r="D115" s="679"/>
      <c r="E115" s="679"/>
      <c r="F115" s="711"/>
    </row>
    <row r="116" spans="2:6">
      <c r="B116" s="679"/>
      <c r="C116" s="679"/>
      <c r="D116" s="679"/>
      <c r="E116" s="679"/>
      <c r="F116" s="711"/>
    </row>
    <row r="117" spans="2:6">
      <c r="B117" s="679"/>
      <c r="C117" s="679"/>
      <c r="D117" s="679"/>
      <c r="E117" s="679"/>
      <c r="F117" s="711"/>
    </row>
    <row r="118" spans="2:6">
      <c r="B118" s="679"/>
      <c r="C118" s="679"/>
      <c r="D118" s="679"/>
      <c r="E118" s="679"/>
      <c r="F118" s="711"/>
    </row>
    <row r="119" spans="2:6">
      <c r="B119" s="679"/>
      <c r="C119" s="679"/>
      <c r="D119" s="679"/>
      <c r="E119" s="679"/>
      <c r="F119" s="711"/>
    </row>
    <row r="120" spans="2:6">
      <c r="B120" s="679"/>
      <c r="C120" s="679"/>
      <c r="D120" s="679"/>
      <c r="E120" s="679"/>
      <c r="F120" s="711"/>
    </row>
    <row r="121" spans="2:6">
      <c r="B121" s="679"/>
      <c r="C121" s="679"/>
      <c r="D121" s="679"/>
      <c r="E121" s="679"/>
      <c r="F121" s="711"/>
    </row>
    <row r="122" spans="2:6">
      <c r="B122" s="679"/>
      <c r="C122" s="679"/>
      <c r="D122" s="679"/>
      <c r="E122" s="679"/>
      <c r="F122" s="711"/>
    </row>
    <row r="123" spans="2:6">
      <c r="B123" s="679"/>
      <c r="C123" s="679"/>
      <c r="D123" s="679"/>
      <c r="E123" s="679"/>
      <c r="F123" s="711"/>
    </row>
    <row r="124" spans="2:6">
      <c r="B124" s="679"/>
      <c r="C124" s="679"/>
      <c r="D124" s="679"/>
      <c r="E124" s="679"/>
      <c r="F124" s="711"/>
    </row>
    <row r="125" spans="2:6">
      <c r="B125" s="679"/>
      <c r="C125" s="679"/>
      <c r="D125" s="679"/>
      <c r="E125" s="679"/>
      <c r="F125" s="711"/>
    </row>
    <row r="126" spans="2:6">
      <c r="B126" s="679"/>
      <c r="C126" s="679"/>
      <c r="D126" s="679"/>
      <c r="E126" s="679"/>
      <c r="F126" s="711"/>
    </row>
    <row r="127" spans="2:6">
      <c r="B127" s="679"/>
      <c r="C127" s="679"/>
      <c r="D127" s="679"/>
      <c r="E127" s="679"/>
      <c r="F127" s="711"/>
    </row>
    <row r="128" spans="2:6">
      <c r="B128" s="679"/>
      <c r="C128" s="679"/>
      <c r="D128" s="679"/>
      <c r="E128" s="679"/>
      <c r="F128" s="711"/>
    </row>
    <row r="129" spans="2:6">
      <c r="B129" s="679"/>
      <c r="C129" s="679"/>
      <c r="D129" s="679"/>
      <c r="E129" s="679"/>
      <c r="F129" s="711"/>
    </row>
    <row r="130" spans="2:6">
      <c r="B130" s="679"/>
      <c r="C130" s="679"/>
      <c r="D130" s="679"/>
      <c r="E130" s="679"/>
      <c r="F130" s="711"/>
    </row>
    <row r="131" spans="2:6">
      <c r="B131" s="679"/>
      <c r="C131" s="679"/>
      <c r="D131" s="679"/>
      <c r="E131" s="679"/>
      <c r="F131" s="711"/>
    </row>
    <row r="132" spans="2:6">
      <c r="B132" s="679"/>
      <c r="C132" s="679"/>
      <c r="D132" s="679"/>
      <c r="E132" s="679"/>
      <c r="F132" s="711"/>
    </row>
    <row r="133" spans="2:6">
      <c r="B133" s="679"/>
      <c r="C133" s="679"/>
      <c r="D133" s="679"/>
      <c r="E133" s="679"/>
      <c r="F133" s="711"/>
    </row>
    <row r="134" spans="2:6">
      <c r="B134" s="679"/>
      <c r="C134" s="679"/>
      <c r="D134" s="679"/>
      <c r="E134" s="679"/>
      <c r="F134" s="711"/>
    </row>
    <row r="135" spans="2:6">
      <c r="B135" s="679"/>
      <c r="C135" s="679"/>
      <c r="D135" s="679"/>
      <c r="E135" s="679"/>
      <c r="F135" s="711"/>
    </row>
    <row r="136" spans="2:6">
      <c r="B136" s="679"/>
      <c r="C136" s="679"/>
      <c r="D136" s="679"/>
      <c r="E136" s="679"/>
      <c r="F136" s="711"/>
    </row>
    <row r="137" spans="2:6">
      <c r="B137" s="679"/>
      <c r="C137" s="679"/>
      <c r="D137" s="679"/>
      <c r="E137" s="679"/>
      <c r="F137" s="711"/>
    </row>
    <row r="138" spans="2:6">
      <c r="B138" s="679"/>
      <c r="C138" s="679"/>
      <c r="D138" s="679"/>
      <c r="E138" s="679"/>
      <c r="F138" s="711"/>
    </row>
    <row r="139" spans="2:6">
      <c r="B139" s="679"/>
      <c r="C139" s="679"/>
      <c r="D139" s="679"/>
      <c r="E139" s="679"/>
      <c r="F139" s="711"/>
    </row>
    <row r="140" spans="2:6">
      <c r="B140" s="679"/>
      <c r="C140" s="679"/>
      <c r="D140" s="679"/>
      <c r="E140" s="679"/>
      <c r="F140" s="711"/>
    </row>
    <row r="141" spans="2:6">
      <c r="B141" s="679"/>
      <c r="C141" s="679"/>
      <c r="D141" s="679"/>
      <c r="E141" s="679"/>
      <c r="F141" s="711"/>
    </row>
    <row r="142" spans="2:6">
      <c r="B142" s="679"/>
      <c r="C142" s="679"/>
      <c r="D142" s="679"/>
      <c r="E142" s="679"/>
      <c r="F142" s="711"/>
    </row>
    <row r="143" spans="2:6">
      <c r="B143" s="679"/>
      <c r="C143" s="679"/>
      <c r="D143" s="679"/>
      <c r="E143" s="679"/>
      <c r="F143" s="711"/>
    </row>
    <row r="144" spans="2:6">
      <c r="B144" s="679"/>
      <c r="C144" s="679"/>
      <c r="D144" s="679"/>
      <c r="E144" s="679"/>
      <c r="F144" s="711"/>
    </row>
    <row r="145" spans="2:6">
      <c r="B145" s="679"/>
      <c r="C145" s="679"/>
      <c r="D145" s="679"/>
      <c r="E145" s="679"/>
      <c r="F145" s="711"/>
    </row>
    <row r="146" spans="2:6">
      <c r="B146" s="679"/>
      <c r="C146" s="679"/>
      <c r="D146" s="679"/>
      <c r="E146" s="679"/>
      <c r="F146" s="711"/>
    </row>
    <row r="147" spans="2:6">
      <c r="B147" s="679"/>
      <c r="C147" s="679"/>
      <c r="D147" s="679"/>
      <c r="E147" s="679"/>
      <c r="F147" s="711"/>
    </row>
    <row r="148" spans="2:6">
      <c r="B148" s="679"/>
      <c r="C148" s="679"/>
      <c r="D148" s="679"/>
      <c r="E148" s="679"/>
      <c r="F148" s="711"/>
    </row>
    <row r="149" spans="2:6">
      <c r="B149" s="679"/>
      <c r="C149" s="679"/>
      <c r="D149" s="679"/>
      <c r="E149" s="679"/>
      <c r="F149" s="711"/>
    </row>
    <row r="150" spans="2:6">
      <c r="B150" s="679"/>
      <c r="C150" s="679"/>
      <c r="D150" s="679"/>
      <c r="E150" s="679"/>
      <c r="F150" s="711"/>
    </row>
    <row r="151" spans="2:6">
      <c r="B151" s="679"/>
      <c r="C151" s="679"/>
      <c r="D151" s="679"/>
      <c r="E151" s="679"/>
      <c r="F151" s="711"/>
    </row>
    <row r="152" spans="2:6">
      <c r="B152" s="679"/>
      <c r="C152" s="679"/>
      <c r="D152" s="679"/>
      <c r="E152" s="679"/>
      <c r="F152" s="711"/>
    </row>
    <row r="153" spans="2:6">
      <c r="B153" s="679"/>
      <c r="C153" s="679"/>
      <c r="D153" s="679"/>
      <c r="E153" s="679"/>
      <c r="F153" s="711"/>
    </row>
    <row r="154" spans="2:6">
      <c r="B154" s="679"/>
      <c r="C154" s="679"/>
      <c r="D154" s="679"/>
      <c r="E154" s="679"/>
      <c r="F154" s="711"/>
    </row>
    <row r="155" spans="2:6">
      <c r="B155" s="679"/>
      <c r="C155" s="679"/>
      <c r="D155" s="679"/>
      <c r="E155" s="679"/>
      <c r="F155" s="711"/>
    </row>
    <row r="156" spans="2:6">
      <c r="B156" s="679"/>
      <c r="C156" s="679"/>
      <c r="D156" s="679"/>
      <c r="E156" s="679"/>
      <c r="F156" s="711"/>
    </row>
    <row r="157" spans="2:6">
      <c r="B157" s="679"/>
      <c r="C157" s="679"/>
      <c r="D157" s="679"/>
      <c r="E157" s="679"/>
      <c r="F157" s="711"/>
    </row>
    <row r="158" spans="2:6">
      <c r="B158" s="679"/>
      <c r="C158" s="679"/>
      <c r="D158" s="679"/>
      <c r="E158" s="679"/>
      <c r="F158" s="711"/>
    </row>
    <row r="159" spans="2:6">
      <c r="B159" s="679"/>
      <c r="C159" s="679"/>
      <c r="D159" s="679"/>
      <c r="E159" s="679"/>
      <c r="F159" s="711"/>
    </row>
    <row r="160" spans="2:6">
      <c r="B160" s="679"/>
      <c r="C160" s="679"/>
      <c r="D160" s="679"/>
      <c r="E160" s="679"/>
      <c r="F160" s="711"/>
    </row>
    <row r="161" spans="2:6">
      <c r="B161" s="679"/>
      <c r="C161" s="679"/>
      <c r="D161" s="679"/>
      <c r="E161" s="679"/>
      <c r="F161" s="711"/>
    </row>
    <row r="162" spans="2:6">
      <c r="B162" s="679"/>
      <c r="C162" s="679"/>
      <c r="D162" s="679"/>
      <c r="E162" s="679"/>
      <c r="F162" s="711"/>
    </row>
    <row r="163" spans="2:6">
      <c r="B163" s="679"/>
      <c r="C163" s="679"/>
      <c r="D163" s="679"/>
      <c r="E163" s="679"/>
      <c r="F163" s="711"/>
    </row>
    <row r="164" spans="2:6">
      <c r="B164" s="679"/>
      <c r="C164" s="679"/>
      <c r="D164" s="679"/>
      <c r="E164" s="679"/>
      <c r="F164" s="711"/>
    </row>
    <row r="165" spans="2:6">
      <c r="B165" s="679"/>
      <c r="C165" s="679"/>
      <c r="D165" s="679"/>
      <c r="E165" s="679"/>
      <c r="F165" s="711"/>
    </row>
    <row r="166" spans="2:6">
      <c r="B166" s="679"/>
      <c r="C166" s="679"/>
      <c r="D166" s="679"/>
      <c r="E166" s="679"/>
      <c r="F166" s="711"/>
    </row>
    <row r="167" spans="2:6">
      <c r="B167" s="679"/>
      <c r="C167" s="679"/>
      <c r="D167" s="679"/>
      <c r="E167" s="679"/>
      <c r="F167" s="711"/>
    </row>
    <row r="168" spans="2:6">
      <c r="B168" s="679"/>
      <c r="C168" s="679"/>
      <c r="D168" s="679"/>
      <c r="E168" s="679"/>
      <c r="F168" s="711"/>
    </row>
    <row r="169" spans="2:6">
      <c r="B169" s="679"/>
      <c r="C169" s="679"/>
      <c r="D169" s="679"/>
      <c r="E169" s="679"/>
      <c r="F169" s="711"/>
    </row>
    <row r="170" spans="2:6">
      <c r="B170" s="679"/>
      <c r="C170" s="679"/>
      <c r="D170" s="679"/>
      <c r="E170" s="679"/>
      <c r="F170" s="711"/>
    </row>
    <row r="171" spans="2:6">
      <c r="B171" s="679"/>
      <c r="C171" s="679"/>
      <c r="D171" s="679"/>
      <c r="E171" s="679"/>
      <c r="F171" s="711"/>
    </row>
    <row r="172" spans="2:6">
      <c r="B172" s="679"/>
      <c r="C172" s="679"/>
      <c r="D172" s="679"/>
      <c r="E172" s="679"/>
      <c r="F172" s="711"/>
    </row>
    <row r="173" spans="2:6">
      <c r="B173" s="679"/>
      <c r="C173" s="679"/>
      <c r="D173" s="679"/>
      <c r="E173" s="679"/>
      <c r="F173" s="711"/>
    </row>
    <row r="174" spans="2:6">
      <c r="B174" s="679"/>
      <c r="C174" s="679"/>
      <c r="D174" s="679"/>
      <c r="E174" s="679"/>
      <c r="F174" s="711"/>
    </row>
    <row r="175" spans="2:6">
      <c r="B175" s="679"/>
      <c r="C175" s="679"/>
      <c r="D175" s="679"/>
      <c r="E175" s="679"/>
      <c r="F175" s="711"/>
    </row>
    <row r="176" spans="2:6">
      <c r="B176" s="679"/>
      <c r="C176" s="679"/>
      <c r="D176" s="679"/>
      <c r="E176" s="679"/>
      <c r="F176" s="711"/>
    </row>
    <row r="177" spans="2:6">
      <c r="B177" s="679"/>
      <c r="C177" s="679"/>
      <c r="D177" s="679"/>
      <c r="E177" s="679"/>
      <c r="F177" s="711"/>
    </row>
    <row r="178" spans="2:6">
      <c r="B178" s="679"/>
      <c r="C178" s="679"/>
      <c r="D178" s="679"/>
      <c r="E178" s="679"/>
      <c r="F178" s="711"/>
    </row>
    <row r="179" spans="2:6">
      <c r="B179" s="679"/>
      <c r="C179" s="679"/>
      <c r="D179" s="679"/>
      <c r="E179" s="679"/>
      <c r="F179" s="711"/>
    </row>
    <row r="180" spans="2:6">
      <c r="B180" s="679"/>
      <c r="C180" s="679"/>
      <c r="D180" s="679"/>
      <c r="E180" s="679"/>
      <c r="F180" s="711"/>
    </row>
    <row r="181" spans="2:6">
      <c r="B181" s="679"/>
      <c r="C181" s="679"/>
      <c r="D181" s="679"/>
      <c r="E181" s="679"/>
      <c r="F181" s="711"/>
    </row>
    <row r="182" spans="2:6">
      <c r="B182" s="679"/>
      <c r="C182" s="679"/>
      <c r="D182" s="679"/>
      <c r="E182" s="679"/>
      <c r="F182" s="711"/>
    </row>
    <row r="183" spans="2:6">
      <c r="B183" s="679"/>
      <c r="C183" s="679"/>
      <c r="D183" s="679"/>
      <c r="E183" s="679"/>
      <c r="F183" s="711"/>
    </row>
    <row r="184" spans="2:6">
      <c r="B184" s="679"/>
      <c r="C184" s="679"/>
      <c r="D184" s="679"/>
      <c r="E184" s="679"/>
      <c r="F184" s="711"/>
    </row>
    <row r="185" spans="2:6">
      <c r="B185" s="679"/>
      <c r="C185" s="679"/>
      <c r="D185" s="679"/>
      <c r="E185" s="679"/>
      <c r="F185" s="711"/>
    </row>
    <row r="186" spans="2:6">
      <c r="B186" s="679"/>
      <c r="C186" s="679"/>
      <c r="D186" s="679"/>
      <c r="E186" s="679"/>
      <c r="F186" s="711"/>
    </row>
    <row r="187" spans="2:6">
      <c r="B187" s="679"/>
      <c r="C187" s="679"/>
      <c r="D187" s="679"/>
      <c r="E187" s="679"/>
      <c r="F187" s="711"/>
    </row>
    <row r="188" spans="2:6">
      <c r="B188" s="679"/>
      <c r="C188" s="679"/>
      <c r="D188" s="679"/>
      <c r="E188" s="679"/>
      <c r="F188" s="711"/>
    </row>
    <row r="189" spans="2:6">
      <c r="B189" s="679"/>
      <c r="C189" s="679"/>
      <c r="D189" s="679"/>
      <c r="E189" s="679"/>
      <c r="F189" s="711"/>
    </row>
    <row r="190" spans="2:6">
      <c r="B190" s="679"/>
      <c r="C190" s="679"/>
      <c r="D190" s="679"/>
      <c r="E190" s="679"/>
      <c r="F190" s="711"/>
    </row>
    <row r="191" spans="2:6">
      <c r="B191" s="679"/>
      <c r="C191" s="679"/>
      <c r="D191" s="679"/>
      <c r="E191" s="679"/>
      <c r="F191" s="711"/>
    </row>
    <row r="192" spans="2:6">
      <c r="B192" s="679"/>
      <c r="C192" s="679"/>
      <c r="D192" s="679"/>
      <c r="E192" s="679"/>
      <c r="F192" s="711"/>
    </row>
    <row r="193" spans="2:6">
      <c r="B193" s="679"/>
      <c r="C193" s="679"/>
      <c r="D193" s="679"/>
      <c r="E193" s="679"/>
      <c r="F193" s="711"/>
    </row>
    <row r="194" spans="2:6">
      <c r="B194" s="679"/>
      <c r="C194" s="679"/>
      <c r="D194" s="679"/>
      <c r="E194" s="679"/>
      <c r="F194" s="711"/>
    </row>
    <row r="195" spans="2:6">
      <c r="B195" s="679"/>
      <c r="C195" s="679"/>
      <c r="D195" s="679"/>
      <c r="E195" s="679"/>
      <c r="F195" s="711"/>
    </row>
    <row r="196" spans="2:6">
      <c r="B196" s="679"/>
      <c r="C196" s="679"/>
      <c r="D196" s="679"/>
      <c r="E196" s="679"/>
      <c r="F196" s="711"/>
    </row>
    <row r="197" spans="2:6">
      <c r="B197" s="679"/>
      <c r="C197" s="679"/>
      <c r="D197" s="679"/>
      <c r="E197" s="679"/>
      <c r="F197" s="711"/>
    </row>
    <row r="198" spans="2:6">
      <c r="B198" s="679"/>
      <c r="C198" s="679"/>
      <c r="D198" s="679"/>
      <c r="E198" s="679"/>
      <c r="F198" s="711"/>
    </row>
    <row r="199" spans="2:6">
      <c r="B199" s="679"/>
      <c r="C199" s="679"/>
      <c r="D199" s="679"/>
      <c r="E199" s="679"/>
      <c r="F199" s="711"/>
    </row>
    <row r="200" spans="2:6">
      <c r="B200" s="679"/>
      <c r="C200" s="679"/>
      <c r="D200" s="679"/>
      <c r="E200" s="679"/>
      <c r="F200" s="711"/>
    </row>
    <row r="201" spans="2:6">
      <c r="B201" s="679"/>
      <c r="C201" s="679"/>
      <c r="D201" s="679"/>
      <c r="E201" s="679"/>
      <c r="F201" s="711"/>
    </row>
    <row r="202" spans="2:6">
      <c r="B202" s="679"/>
      <c r="C202" s="679"/>
      <c r="D202" s="679"/>
      <c r="E202" s="679"/>
      <c r="F202" s="711"/>
    </row>
    <row r="203" spans="2:6">
      <c r="B203" s="679"/>
      <c r="C203" s="679"/>
      <c r="D203" s="679"/>
      <c r="E203" s="679"/>
      <c r="F203" s="711"/>
    </row>
    <row r="204" spans="2:6">
      <c r="B204" s="679"/>
      <c r="C204" s="679"/>
      <c r="D204" s="679"/>
      <c r="E204" s="679"/>
      <c r="F204" s="711"/>
    </row>
    <row r="205" spans="2:6">
      <c r="B205" s="679"/>
      <c r="C205" s="679"/>
      <c r="D205" s="679"/>
      <c r="E205" s="679"/>
      <c r="F205" s="711"/>
    </row>
    <row r="206" spans="2:6">
      <c r="B206" s="679"/>
      <c r="C206" s="679"/>
      <c r="D206" s="679"/>
      <c r="E206" s="679"/>
      <c r="F206" s="711"/>
    </row>
    <row r="207" spans="2:6">
      <c r="B207" s="679"/>
      <c r="C207" s="679"/>
      <c r="D207" s="679"/>
      <c r="E207" s="679"/>
      <c r="F207" s="711"/>
    </row>
    <row r="208" spans="2:6">
      <c r="B208" s="679"/>
      <c r="C208" s="679"/>
      <c r="D208" s="679"/>
      <c r="E208" s="679"/>
      <c r="F208" s="711"/>
    </row>
    <row r="209" spans="2:6">
      <c r="B209" s="679"/>
      <c r="C209" s="679"/>
      <c r="D209" s="679"/>
      <c r="E209" s="679"/>
      <c r="F209" s="711"/>
    </row>
    <row r="210" spans="2:6">
      <c r="B210" s="679"/>
      <c r="C210" s="679"/>
      <c r="D210" s="679"/>
      <c r="E210" s="679"/>
      <c r="F210" s="711"/>
    </row>
    <row r="211" spans="2:6">
      <c r="B211" s="679"/>
      <c r="C211" s="679"/>
      <c r="D211" s="679"/>
      <c r="E211" s="679"/>
      <c r="F211" s="711"/>
    </row>
    <row r="212" spans="2:6">
      <c r="B212" s="679"/>
      <c r="C212" s="679"/>
      <c r="D212" s="679"/>
      <c r="E212" s="679"/>
      <c r="F212" s="711"/>
    </row>
    <row r="213" spans="2:6">
      <c r="B213" s="679"/>
      <c r="C213" s="679"/>
      <c r="D213" s="679"/>
      <c r="E213" s="679"/>
      <c r="F213" s="711"/>
    </row>
    <row r="214" spans="2:6">
      <c r="B214" s="679"/>
      <c r="C214" s="679"/>
      <c r="D214" s="679"/>
      <c r="E214" s="679"/>
      <c r="F214" s="711"/>
    </row>
    <row r="215" spans="2:6">
      <c r="B215" s="679"/>
      <c r="C215" s="679"/>
      <c r="D215" s="679"/>
      <c r="E215" s="679"/>
      <c r="F215" s="711"/>
    </row>
    <row r="216" spans="2:6">
      <c r="B216" s="679"/>
      <c r="C216" s="679"/>
      <c r="D216" s="679"/>
      <c r="E216" s="679"/>
      <c r="F216" s="711"/>
    </row>
    <row r="217" spans="2:6">
      <c r="B217" s="679"/>
      <c r="C217" s="679"/>
      <c r="D217" s="679"/>
      <c r="E217" s="679"/>
      <c r="F217" s="711"/>
    </row>
    <row r="218" spans="2:6">
      <c r="B218" s="679"/>
      <c r="C218" s="679"/>
      <c r="D218" s="679"/>
      <c r="E218" s="679"/>
      <c r="F218" s="711"/>
    </row>
    <row r="219" spans="2:6">
      <c r="B219" s="679"/>
      <c r="C219" s="679"/>
      <c r="D219" s="679"/>
      <c r="E219" s="679"/>
      <c r="F219" s="711"/>
    </row>
    <row r="220" spans="2:6">
      <c r="B220" s="679"/>
      <c r="C220" s="679"/>
      <c r="D220" s="679"/>
      <c r="E220" s="679"/>
      <c r="F220" s="711"/>
    </row>
    <row r="221" spans="2:6">
      <c r="B221" s="679"/>
      <c r="C221" s="679"/>
      <c r="D221" s="679"/>
      <c r="E221" s="679"/>
      <c r="F221" s="711"/>
    </row>
    <row r="222" spans="2:6">
      <c r="B222" s="679"/>
      <c r="C222" s="679"/>
      <c r="D222" s="679"/>
      <c r="E222" s="679"/>
      <c r="F222" s="711"/>
    </row>
    <row r="223" spans="2:6">
      <c r="B223" s="679"/>
      <c r="C223" s="679"/>
      <c r="D223" s="679"/>
      <c r="E223" s="679"/>
      <c r="F223" s="711"/>
    </row>
    <row r="224" spans="2:6">
      <c r="B224" s="679"/>
      <c r="C224" s="679"/>
      <c r="D224" s="679"/>
      <c r="E224" s="679"/>
      <c r="F224" s="711"/>
    </row>
    <row r="225" spans="2:6">
      <c r="B225" s="679"/>
      <c r="C225" s="679"/>
      <c r="D225" s="679"/>
      <c r="E225" s="679"/>
      <c r="F225" s="711"/>
    </row>
    <row r="226" spans="2:6">
      <c r="B226" s="679"/>
      <c r="C226" s="679"/>
      <c r="D226" s="679"/>
      <c r="E226" s="679"/>
      <c r="F226" s="711"/>
    </row>
    <row r="227" spans="2:6">
      <c r="B227" s="679"/>
      <c r="C227" s="679"/>
      <c r="D227" s="679"/>
      <c r="E227" s="679"/>
      <c r="F227" s="711"/>
    </row>
    <row r="228" spans="2:6">
      <c r="B228" s="679"/>
      <c r="C228" s="679"/>
      <c r="D228" s="679"/>
      <c r="E228" s="679"/>
      <c r="F228" s="711"/>
    </row>
    <row r="229" spans="2:6">
      <c r="B229" s="679"/>
      <c r="C229" s="679"/>
      <c r="D229" s="679"/>
      <c r="E229" s="679"/>
      <c r="F229" s="711"/>
    </row>
    <row r="230" spans="2:6">
      <c r="B230" s="679"/>
      <c r="C230" s="679"/>
      <c r="D230" s="679"/>
      <c r="E230" s="679"/>
      <c r="F230" s="711"/>
    </row>
    <row r="231" spans="2:6">
      <c r="B231" s="679"/>
      <c r="C231" s="679"/>
      <c r="D231" s="679"/>
      <c r="E231" s="679"/>
      <c r="F231" s="711"/>
    </row>
    <row r="232" spans="2:6">
      <c r="B232" s="679"/>
      <c r="C232" s="679"/>
      <c r="D232" s="679"/>
      <c r="E232" s="679"/>
      <c r="F232" s="711"/>
    </row>
    <row r="233" spans="2:6">
      <c r="B233" s="679"/>
      <c r="C233" s="679"/>
      <c r="D233" s="679"/>
      <c r="E233" s="679"/>
      <c r="F233" s="711"/>
    </row>
    <row r="234" spans="2:6">
      <c r="B234" s="679"/>
      <c r="C234" s="679"/>
      <c r="D234" s="679"/>
      <c r="E234" s="679"/>
      <c r="F234" s="711"/>
    </row>
    <row r="235" spans="2:6">
      <c r="B235" s="679"/>
      <c r="C235" s="679"/>
      <c r="D235" s="679"/>
      <c r="E235" s="679"/>
      <c r="F235" s="711"/>
    </row>
    <row r="236" spans="2:6">
      <c r="B236" s="679"/>
      <c r="C236" s="679"/>
      <c r="D236" s="679"/>
      <c r="E236" s="679"/>
      <c r="F236" s="711"/>
    </row>
    <row r="237" spans="2:6">
      <c r="B237" s="679"/>
      <c r="C237" s="679"/>
      <c r="D237" s="679"/>
      <c r="E237" s="679"/>
      <c r="F237" s="711"/>
    </row>
    <row r="238" spans="2:6">
      <c r="B238" s="679"/>
      <c r="C238" s="679"/>
      <c r="D238" s="679"/>
      <c r="E238" s="679"/>
      <c r="F238" s="711"/>
    </row>
    <row r="239" spans="2:6">
      <c r="B239" s="679"/>
      <c r="C239" s="679"/>
      <c r="D239" s="679"/>
      <c r="E239" s="679"/>
      <c r="F239" s="711"/>
    </row>
    <row r="240" spans="2:6">
      <c r="B240" s="679"/>
      <c r="C240" s="679"/>
      <c r="D240" s="679"/>
      <c r="E240" s="679"/>
      <c r="F240" s="711"/>
    </row>
    <row r="241" spans="2:6">
      <c r="B241" s="679"/>
      <c r="C241" s="679"/>
      <c r="D241" s="679"/>
      <c r="E241" s="679"/>
      <c r="F241" s="711"/>
    </row>
    <row r="242" spans="2:6">
      <c r="B242" s="679"/>
      <c r="C242" s="679"/>
      <c r="D242" s="679"/>
      <c r="E242" s="679"/>
      <c r="F242" s="711"/>
    </row>
    <row r="243" spans="2:6">
      <c r="B243" s="679"/>
      <c r="C243" s="679"/>
      <c r="D243" s="679"/>
      <c r="E243" s="679"/>
      <c r="F243" s="711"/>
    </row>
    <row r="244" spans="2:6">
      <c r="B244" s="679"/>
      <c r="C244" s="679"/>
      <c r="D244" s="679"/>
      <c r="E244" s="679"/>
      <c r="F244" s="711"/>
    </row>
    <row r="245" spans="2:6">
      <c r="B245" s="679"/>
      <c r="C245" s="679"/>
      <c r="D245" s="679"/>
      <c r="E245" s="679"/>
      <c r="F245" s="711"/>
    </row>
    <row r="246" spans="2:6">
      <c r="B246" s="679"/>
      <c r="C246" s="679"/>
      <c r="D246" s="679"/>
      <c r="E246" s="679"/>
      <c r="F246" s="711"/>
    </row>
    <row r="247" spans="2:6">
      <c r="B247" s="679"/>
      <c r="C247" s="679"/>
      <c r="D247" s="679"/>
      <c r="E247" s="679"/>
      <c r="F247" s="711"/>
    </row>
    <row r="248" spans="2:6">
      <c r="B248" s="679"/>
      <c r="C248" s="679"/>
      <c r="D248" s="679"/>
      <c r="E248" s="679"/>
      <c r="F248" s="711"/>
    </row>
    <row r="249" spans="2:6">
      <c r="B249" s="679"/>
      <c r="C249" s="679"/>
      <c r="D249" s="679"/>
      <c r="E249" s="679"/>
      <c r="F249" s="711"/>
    </row>
    <row r="250" spans="2:6">
      <c r="B250" s="679"/>
      <c r="C250" s="679"/>
      <c r="D250" s="679"/>
      <c r="E250" s="679"/>
      <c r="F250" s="711"/>
    </row>
    <row r="251" spans="2:6">
      <c r="B251" s="679"/>
      <c r="C251" s="679"/>
      <c r="D251" s="679"/>
      <c r="E251" s="679"/>
      <c r="F251" s="711"/>
    </row>
    <row r="252" spans="2:6">
      <c r="B252" s="679"/>
      <c r="C252" s="679"/>
      <c r="D252" s="679"/>
      <c r="E252" s="679"/>
      <c r="F252" s="711"/>
    </row>
    <row r="253" spans="2:6">
      <c r="B253" s="679"/>
      <c r="C253" s="679"/>
      <c r="D253" s="679"/>
      <c r="E253" s="679"/>
      <c r="F253" s="711"/>
    </row>
    <row r="254" spans="2:6">
      <c r="B254" s="679"/>
      <c r="C254" s="679"/>
      <c r="D254" s="679"/>
      <c r="E254" s="679"/>
      <c r="F254" s="711"/>
    </row>
    <row r="255" spans="2:6">
      <c r="B255" s="679"/>
      <c r="C255" s="679"/>
      <c r="D255" s="679"/>
      <c r="E255" s="679"/>
      <c r="F255" s="711"/>
    </row>
    <row r="256" spans="2:6">
      <c r="B256" s="679"/>
      <c r="C256" s="679"/>
      <c r="D256" s="679"/>
      <c r="E256" s="679"/>
      <c r="F256" s="711"/>
    </row>
    <row r="257" spans="2:6">
      <c r="B257" s="679"/>
      <c r="C257" s="679"/>
      <c r="D257" s="679"/>
      <c r="E257" s="679"/>
      <c r="F257" s="711"/>
    </row>
    <row r="258" spans="2:6">
      <c r="B258" s="679"/>
      <c r="C258" s="679"/>
      <c r="D258" s="679"/>
      <c r="E258" s="679"/>
      <c r="F258" s="711"/>
    </row>
    <row r="259" spans="2:6">
      <c r="B259" s="679"/>
      <c r="C259" s="679"/>
      <c r="D259" s="679"/>
      <c r="E259" s="679"/>
      <c r="F259" s="711"/>
    </row>
    <row r="260" spans="2:6">
      <c r="B260" s="679"/>
      <c r="C260" s="679"/>
      <c r="D260" s="679"/>
      <c r="E260" s="679"/>
      <c r="F260" s="711"/>
    </row>
    <row r="261" spans="2:6">
      <c r="B261" s="679"/>
      <c r="C261" s="679"/>
      <c r="D261" s="679"/>
      <c r="E261" s="679"/>
      <c r="F261" s="711"/>
    </row>
    <row r="262" spans="2:6">
      <c r="B262" s="679"/>
      <c r="C262" s="679"/>
      <c r="D262" s="679"/>
      <c r="E262" s="679"/>
      <c r="F262" s="711"/>
    </row>
    <row r="263" spans="2:6">
      <c r="B263" s="679"/>
      <c r="C263" s="679"/>
      <c r="D263" s="679"/>
      <c r="E263" s="679"/>
      <c r="F263" s="711"/>
    </row>
    <row r="264" spans="2:6">
      <c r="B264" s="679"/>
      <c r="C264" s="679"/>
      <c r="D264" s="679"/>
      <c r="E264" s="679"/>
      <c r="F264" s="711"/>
    </row>
    <row r="265" spans="2:6">
      <c r="B265" s="679"/>
      <c r="C265" s="679"/>
      <c r="D265" s="679"/>
      <c r="E265" s="679"/>
      <c r="F265" s="711"/>
    </row>
    <row r="266" spans="2:6">
      <c r="B266" s="679"/>
      <c r="C266" s="679"/>
      <c r="D266" s="679"/>
      <c r="E266" s="679"/>
      <c r="F266" s="711"/>
    </row>
    <row r="267" spans="2:6">
      <c r="B267" s="679"/>
      <c r="C267" s="679"/>
      <c r="D267" s="679"/>
      <c r="E267" s="679"/>
      <c r="F267" s="711"/>
    </row>
    <row r="268" spans="2:6">
      <c r="B268" s="679"/>
      <c r="C268" s="679"/>
      <c r="D268" s="679"/>
      <c r="E268" s="679"/>
      <c r="F268" s="711"/>
    </row>
    <row r="269" spans="2:6">
      <c r="B269" s="679"/>
      <c r="C269" s="679"/>
      <c r="D269" s="679"/>
      <c r="E269" s="679"/>
      <c r="F269" s="711"/>
    </row>
    <row r="270" spans="2:6">
      <c r="B270" s="679"/>
      <c r="C270" s="679"/>
      <c r="D270" s="679"/>
      <c r="E270" s="679"/>
      <c r="F270" s="711"/>
    </row>
    <row r="271" spans="2:6">
      <c r="B271" s="679"/>
      <c r="C271" s="679"/>
      <c r="D271" s="679"/>
      <c r="E271" s="679"/>
      <c r="F271" s="711"/>
    </row>
    <row r="272" spans="2:6">
      <c r="B272" s="679"/>
      <c r="C272" s="679"/>
      <c r="D272" s="679"/>
      <c r="E272" s="679"/>
      <c r="F272" s="711"/>
    </row>
    <row r="273" spans="2:6">
      <c r="B273" s="679"/>
      <c r="C273" s="679"/>
      <c r="D273" s="679"/>
      <c r="E273" s="679"/>
      <c r="F273" s="711"/>
    </row>
    <row r="274" spans="2:6">
      <c r="B274" s="679"/>
      <c r="C274" s="679"/>
      <c r="D274" s="679"/>
      <c r="E274" s="679"/>
      <c r="F274" s="711"/>
    </row>
    <row r="275" spans="2:6">
      <c r="B275" s="679"/>
      <c r="C275" s="679"/>
      <c r="D275" s="679"/>
      <c r="E275" s="679"/>
      <c r="F275" s="711"/>
    </row>
    <row r="276" spans="2:6">
      <c r="B276" s="679"/>
      <c r="C276" s="679"/>
      <c r="D276" s="679"/>
      <c r="E276" s="679"/>
      <c r="F276" s="711"/>
    </row>
    <row r="277" spans="2:6">
      <c r="B277" s="679"/>
      <c r="C277" s="679"/>
      <c r="D277" s="679"/>
      <c r="E277" s="679"/>
      <c r="F277" s="711"/>
    </row>
    <row r="278" spans="2:6">
      <c r="B278" s="679"/>
      <c r="C278" s="679"/>
      <c r="D278" s="679"/>
      <c r="E278" s="679"/>
      <c r="F278" s="711"/>
    </row>
    <row r="279" spans="2:6">
      <c r="B279" s="679"/>
      <c r="C279" s="679"/>
      <c r="D279" s="679"/>
      <c r="E279" s="679"/>
      <c r="F279" s="711"/>
    </row>
    <row r="280" spans="2:6">
      <c r="B280" s="679"/>
      <c r="C280" s="679"/>
      <c r="D280" s="679"/>
      <c r="E280" s="679"/>
      <c r="F280" s="711"/>
    </row>
    <row r="281" spans="2:6">
      <c r="B281" s="679"/>
      <c r="C281" s="679"/>
      <c r="D281" s="679"/>
      <c r="E281" s="679"/>
      <c r="F281" s="711"/>
    </row>
    <row r="282" spans="2:6">
      <c r="B282" s="679"/>
      <c r="C282" s="679"/>
      <c r="D282" s="679"/>
      <c r="E282" s="679"/>
      <c r="F282" s="711"/>
    </row>
    <row r="283" spans="2:6">
      <c r="B283" s="679"/>
      <c r="C283" s="679"/>
      <c r="D283" s="679"/>
      <c r="E283" s="679"/>
      <c r="F283" s="711"/>
    </row>
    <row r="284" spans="2:6">
      <c r="B284" s="679"/>
      <c r="C284" s="679"/>
      <c r="D284" s="679"/>
      <c r="E284" s="679"/>
      <c r="F284" s="711"/>
    </row>
    <row r="285" spans="2:6">
      <c r="B285" s="679"/>
      <c r="C285" s="679"/>
      <c r="D285" s="679"/>
      <c r="E285" s="679"/>
      <c r="F285" s="711"/>
    </row>
    <row r="286" spans="2:6">
      <c r="B286" s="679"/>
      <c r="C286" s="679"/>
      <c r="D286" s="679"/>
      <c r="E286" s="679"/>
      <c r="F286" s="711"/>
    </row>
    <row r="287" spans="2:6">
      <c r="B287" s="679"/>
      <c r="C287" s="679"/>
      <c r="D287" s="679"/>
      <c r="E287" s="679"/>
      <c r="F287" s="711"/>
    </row>
    <row r="288" spans="2:6">
      <c r="B288" s="679"/>
      <c r="C288" s="679"/>
      <c r="D288" s="679"/>
      <c r="E288" s="679"/>
      <c r="F288" s="711"/>
    </row>
    <row r="289" spans="2:6">
      <c r="B289" s="679"/>
      <c r="C289" s="679"/>
      <c r="D289" s="679"/>
      <c r="E289" s="679"/>
      <c r="F289" s="711"/>
    </row>
    <row r="290" spans="2:6">
      <c r="B290" s="679"/>
      <c r="C290" s="679"/>
      <c r="D290" s="679"/>
      <c r="E290" s="679"/>
      <c r="F290" s="711"/>
    </row>
    <row r="291" spans="2:6">
      <c r="B291" s="679"/>
      <c r="C291" s="679"/>
      <c r="D291" s="679"/>
      <c r="E291" s="679"/>
      <c r="F291" s="711"/>
    </row>
    <row r="292" spans="2:6">
      <c r="B292" s="679"/>
      <c r="C292" s="679"/>
      <c r="D292" s="679"/>
      <c r="E292" s="679"/>
      <c r="F292" s="711"/>
    </row>
    <row r="293" spans="2:6">
      <c r="B293" s="679"/>
      <c r="C293" s="679"/>
      <c r="D293" s="679"/>
      <c r="E293" s="679"/>
      <c r="F293" s="711"/>
    </row>
    <row r="294" spans="2:6">
      <c r="B294" s="679"/>
      <c r="C294" s="679"/>
      <c r="D294" s="679"/>
      <c r="E294" s="679"/>
      <c r="F294" s="711"/>
    </row>
    <row r="295" spans="2:6">
      <c r="B295" s="679"/>
      <c r="C295" s="679"/>
      <c r="D295" s="679"/>
      <c r="E295" s="679"/>
      <c r="F295" s="711"/>
    </row>
    <row r="296" spans="2:6">
      <c r="B296" s="679"/>
      <c r="C296" s="679"/>
      <c r="D296" s="679"/>
      <c r="E296" s="679"/>
      <c r="F296" s="711"/>
    </row>
    <row r="297" spans="2:6">
      <c r="B297" s="679"/>
      <c r="C297" s="679"/>
      <c r="D297" s="679"/>
      <c r="E297" s="679"/>
      <c r="F297" s="711"/>
    </row>
    <row r="298" spans="2:6">
      <c r="B298" s="679"/>
      <c r="C298" s="679"/>
      <c r="D298" s="679"/>
      <c r="E298" s="679"/>
      <c r="F298" s="711"/>
    </row>
    <row r="299" spans="2:6">
      <c r="B299" s="679"/>
      <c r="C299" s="679"/>
      <c r="D299" s="679"/>
      <c r="E299" s="679"/>
      <c r="F299" s="711"/>
    </row>
    <row r="300" spans="2:6">
      <c r="B300" s="679"/>
      <c r="C300" s="679"/>
      <c r="D300" s="679"/>
      <c r="E300" s="679"/>
      <c r="F300" s="711"/>
    </row>
    <row r="301" spans="2:6">
      <c r="B301" s="679"/>
      <c r="C301" s="679"/>
      <c r="D301" s="679"/>
      <c r="E301" s="679"/>
      <c r="F301" s="711"/>
    </row>
    <row r="302" spans="2:6">
      <c r="B302" s="679"/>
      <c r="C302" s="679"/>
      <c r="D302" s="679"/>
      <c r="E302" s="679"/>
      <c r="F302" s="711"/>
    </row>
    <row r="303" spans="2:6">
      <c r="B303" s="679"/>
      <c r="C303" s="679"/>
      <c r="D303" s="679"/>
      <c r="E303" s="679"/>
      <c r="F303" s="711"/>
    </row>
    <row r="304" spans="2:6">
      <c r="B304" s="679"/>
      <c r="C304" s="679"/>
      <c r="D304" s="679"/>
      <c r="E304" s="679"/>
      <c r="F304" s="711"/>
    </row>
    <row r="305" spans="2:6">
      <c r="B305" s="679"/>
      <c r="C305" s="679"/>
      <c r="D305" s="679"/>
      <c r="E305" s="679"/>
      <c r="F305" s="711"/>
    </row>
    <row r="306" spans="2:6">
      <c r="B306" s="679"/>
      <c r="C306" s="679"/>
      <c r="D306" s="679"/>
      <c r="E306" s="679"/>
      <c r="F306" s="711"/>
    </row>
    <row r="307" spans="2:6">
      <c r="B307" s="679"/>
      <c r="C307" s="679"/>
      <c r="D307" s="679"/>
      <c r="E307" s="679"/>
      <c r="F307" s="711"/>
    </row>
    <row r="308" spans="2:6">
      <c r="B308" s="679"/>
      <c r="C308" s="679"/>
      <c r="D308" s="679"/>
      <c r="E308" s="679"/>
      <c r="F308" s="711"/>
    </row>
    <row r="309" spans="2:6">
      <c r="B309" s="679"/>
      <c r="C309" s="679"/>
      <c r="D309" s="679"/>
      <c r="E309" s="679"/>
      <c r="F309" s="711"/>
    </row>
    <row r="310" spans="2:6">
      <c r="B310" s="679"/>
      <c r="C310" s="679"/>
      <c r="D310" s="679"/>
      <c r="E310" s="679"/>
      <c r="F310" s="711"/>
    </row>
    <row r="311" spans="2:6">
      <c r="B311" s="679"/>
      <c r="C311" s="679"/>
      <c r="D311" s="679"/>
      <c r="E311" s="679"/>
      <c r="F311" s="711"/>
    </row>
    <row r="312" spans="2:6">
      <c r="B312" s="679"/>
      <c r="C312" s="679"/>
      <c r="D312" s="679"/>
      <c r="E312" s="679"/>
      <c r="F312" s="711"/>
    </row>
    <row r="313" spans="2:6">
      <c r="B313" s="679"/>
      <c r="C313" s="679"/>
      <c r="D313" s="679"/>
      <c r="E313" s="679"/>
      <c r="F313" s="711"/>
    </row>
    <row r="314" spans="2:6">
      <c r="B314" s="679"/>
      <c r="C314" s="679"/>
      <c r="D314" s="679"/>
      <c r="E314" s="679"/>
      <c r="F314" s="711"/>
    </row>
    <row r="315" spans="2:6">
      <c r="B315" s="679"/>
      <c r="C315" s="679"/>
      <c r="D315" s="679"/>
      <c r="E315" s="679"/>
      <c r="F315" s="711"/>
    </row>
    <row r="316" spans="2:6">
      <c r="B316" s="679"/>
      <c r="C316" s="679"/>
      <c r="D316" s="679"/>
      <c r="E316" s="679"/>
      <c r="F316" s="711"/>
    </row>
    <row r="317" spans="2:6">
      <c r="B317" s="679"/>
      <c r="C317" s="679"/>
      <c r="D317" s="679"/>
      <c r="E317" s="679"/>
      <c r="F317" s="711"/>
    </row>
    <row r="318" spans="2:6">
      <c r="B318" s="679"/>
      <c r="C318" s="679"/>
      <c r="D318" s="679"/>
      <c r="E318" s="679"/>
      <c r="F318" s="711"/>
    </row>
    <row r="319" spans="2:6">
      <c r="B319" s="679"/>
      <c r="C319" s="679"/>
      <c r="D319" s="679"/>
      <c r="E319" s="679"/>
      <c r="F319" s="711"/>
    </row>
    <row r="320" spans="2:6">
      <c r="B320" s="679"/>
      <c r="C320" s="679"/>
      <c r="D320" s="679"/>
      <c r="E320" s="679"/>
      <c r="F320" s="711"/>
    </row>
    <row r="321" spans="2:6">
      <c r="B321" s="679"/>
      <c r="C321" s="679"/>
      <c r="D321" s="679"/>
      <c r="E321" s="679"/>
      <c r="F321" s="711"/>
    </row>
    <row r="322" spans="2:6">
      <c r="B322" s="679"/>
      <c r="C322" s="679"/>
      <c r="D322" s="679"/>
      <c r="E322" s="679"/>
      <c r="F322" s="711"/>
    </row>
    <row r="323" spans="2:6">
      <c r="B323" s="679"/>
      <c r="C323" s="679"/>
      <c r="D323" s="679"/>
      <c r="E323" s="679"/>
      <c r="F323" s="711"/>
    </row>
    <row r="324" spans="2:6">
      <c r="B324" s="679"/>
      <c r="C324" s="679"/>
      <c r="D324" s="679"/>
      <c r="E324" s="679"/>
      <c r="F324" s="711"/>
    </row>
    <row r="325" spans="2:6">
      <c r="B325" s="679"/>
      <c r="C325" s="679"/>
      <c r="D325" s="679"/>
      <c r="E325" s="679"/>
      <c r="F325" s="711"/>
    </row>
    <row r="326" spans="2:6">
      <c r="B326" s="679"/>
      <c r="C326" s="679"/>
      <c r="D326" s="679"/>
      <c r="E326" s="679"/>
      <c r="F326" s="711"/>
    </row>
    <row r="327" spans="2:6">
      <c r="B327" s="679"/>
      <c r="C327" s="679"/>
      <c r="D327" s="679"/>
      <c r="E327" s="679"/>
      <c r="F327" s="711"/>
    </row>
    <row r="328" spans="2:6">
      <c r="B328" s="679"/>
      <c r="C328" s="679"/>
      <c r="D328" s="679"/>
      <c r="E328" s="679"/>
      <c r="F328" s="711"/>
    </row>
    <row r="329" spans="2:6">
      <c r="B329" s="679"/>
      <c r="C329" s="679"/>
      <c r="D329" s="679"/>
      <c r="E329" s="679"/>
      <c r="F329" s="711"/>
    </row>
    <row r="330" spans="2:6">
      <c r="B330" s="679"/>
      <c r="C330" s="679"/>
      <c r="D330" s="679"/>
      <c r="E330" s="679"/>
      <c r="F330" s="711"/>
    </row>
    <row r="331" spans="2:6">
      <c r="B331" s="679"/>
      <c r="C331" s="679"/>
      <c r="D331" s="679"/>
      <c r="E331" s="679"/>
      <c r="F331" s="711"/>
    </row>
    <row r="332" spans="2:6">
      <c r="B332" s="679"/>
      <c r="C332" s="679"/>
      <c r="D332" s="679"/>
      <c r="E332" s="679"/>
      <c r="F332" s="711"/>
    </row>
    <row r="333" spans="2:6">
      <c r="B333" s="679"/>
      <c r="C333" s="679"/>
      <c r="D333" s="679"/>
      <c r="E333" s="679"/>
      <c r="F333" s="711"/>
    </row>
    <row r="334" spans="2:6">
      <c r="B334" s="679"/>
      <c r="C334" s="679"/>
      <c r="D334" s="679"/>
      <c r="E334" s="679"/>
      <c r="F334" s="711"/>
    </row>
    <row r="335" spans="2:6">
      <c r="B335" s="679"/>
      <c r="C335" s="679"/>
      <c r="D335" s="679"/>
      <c r="E335" s="679"/>
      <c r="F335" s="711"/>
    </row>
    <row r="336" spans="2:6">
      <c r="B336" s="679"/>
      <c r="C336" s="679"/>
      <c r="D336" s="679"/>
      <c r="E336" s="679"/>
      <c r="F336" s="711"/>
    </row>
    <row r="337" spans="2:6">
      <c r="B337" s="679"/>
      <c r="C337" s="679"/>
      <c r="D337" s="679"/>
      <c r="E337" s="679"/>
      <c r="F337" s="711"/>
    </row>
    <row r="338" spans="2:6">
      <c r="B338" s="679"/>
      <c r="C338" s="679"/>
      <c r="D338" s="679"/>
      <c r="E338" s="679"/>
      <c r="F338" s="711"/>
    </row>
    <row r="339" spans="2:6">
      <c r="B339" s="679"/>
      <c r="C339" s="679"/>
      <c r="D339" s="679"/>
      <c r="E339" s="679"/>
      <c r="F339" s="711"/>
    </row>
    <row r="340" spans="2:6">
      <c r="B340" s="679"/>
      <c r="C340" s="679"/>
      <c r="D340" s="679"/>
      <c r="E340" s="679"/>
      <c r="F340" s="711"/>
    </row>
    <row r="341" spans="2:6">
      <c r="B341" s="679"/>
      <c r="C341" s="679"/>
      <c r="D341" s="679"/>
      <c r="E341" s="679"/>
      <c r="F341" s="711"/>
    </row>
    <row r="342" spans="2:6">
      <c r="B342" s="679"/>
      <c r="C342" s="679"/>
      <c r="D342" s="679"/>
      <c r="E342" s="679"/>
      <c r="F342" s="711"/>
    </row>
    <row r="343" spans="2:6">
      <c r="B343" s="679"/>
      <c r="C343" s="679"/>
      <c r="D343" s="679"/>
      <c r="E343" s="679"/>
      <c r="F343" s="711"/>
    </row>
    <row r="344" spans="2:6">
      <c r="B344" s="679"/>
      <c r="C344" s="679"/>
      <c r="D344" s="679"/>
      <c r="E344" s="679"/>
      <c r="F344" s="711"/>
    </row>
    <row r="345" spans="2:6">
      <c r="B345" s="679"/>
      <c r="C345" s="679"/>
      <c r="D345" s="679"/>
      <c r="E345" s="679"/>
      <c r="F345" s="711"/>
    </row>
    <row r="346" spans="2:6">
      <c r="B346" s="679"/>
      <c r="C346" s="679"/>
      <c r="D346" s="679"/>
      <c r="E346" s="679"/>
      <c r="F346" s="711"/>
    </row>
    <row r="347" spans="2:6">
      <c r="B347" s="679"/>
      <c r="C347" s="679"/>
      <c r="D347" s="679"/>
      <c r="E347" s="679"/>
      <c r="F347" s="711"/>
    </row>
    <row r="348" spans="2:6">
      <c r="B348" s="679"/>
      <c r="C348" s="679"/>
      <c r="D348" s="679"/>
      <c r="E348" s="679"/>
      <c r="F348" s="711"/>
    </row>
    <row r="349" spans="2:6">
      <c r="B349" s="679"/>
      <c r="C349" s="679"/>
      <c r="D349" s="679"/>
      <c r="E349" s="679"/>
      <c r="F349" s="711"/>
    </row>
    <row r="350" spans="2:6">
      <c r="B350" s="679"/>
      <c r="C350" s="679"/>
      <c r="D350" s="679"/>
      <c r="E350" s="679"/>
      <c r="F350" s="711"/>
    </row>
    <row r="351" spans="2:6">
      <c r="B351" s="679"/>
      <c r="C351" s="679"/>
      <c r="D351" s="679"/>
      <c r="E351" s="679"/>
      <c r="F351" s="711"/>
    </row>
    <row r="352" spans="2:6">
      <c r="B352" s="679"/>
      <c r="C352" s="679"/>
      <c r="D352" s="679"/>
      <c r="E352" s="679"/>
      <c r="F352" s="711"/>
    </row>
    <row r="353" spans="2:6">
      <c r="B353" s="679"/>
      <c r="C353" s="679"/>
      <c r="D353" s="679"/>
      <c r="E353" s="679"/>
      <c r="F353" s="711"/>
    </row>
    <row r="354" spans="2:6">
      <c r="B354" s="679"/>
      <c r="C354" s="679"/>
      <c r="D354" s="679"/>
      <c r="E354" s="679"/>
      <c r="F354" s="711"/>
    </row>
    <row r="355" spans="2:6">
      <c r="B355" s="679"/>
      <c r="C355" s="679"/>
      <c r="D355" s="679"/>
      <c r="E355" s="679"/>
      <c r="F355" s="711"/>
    </row>
    <row r="356" spans="2:6">
      <c r="B356" s="679"/>
      <c r="C356" s="679"/>
      <c r="D356" s="679"/>
      <c r="E356" s="679"/>
      <c r="F356" s="711"/>
    </row>
    <row r="357" spans="2:6">
      <c r="B357" s="679"/>
      <c r="C357" s="679"/>
      <c r="D357" s="679"/>
      <c r="E357" s="679"/>
      <c r="F357" s="711"/>
    </row>
    <row r="358" spans="2:6">
      <c r="B358" s="679"/>
      <c r="C358" s="679"/>
      <c r="D358" s="679"/>
      <c r="E358" s="679"/>
      <c r="F358" s="711"/>
    </row>
    <row r="359" spans="2:6">
      <c r="B359" s="679"/>
      <c r="C359" s="679"/>
      <c r="D359" s="679"/>
      <c r="E359" s="679"/>
      <c r="F359" s="711"/>
    </row>
    <row r="360" spans="2:6">
      <c r="B360" s="679"/>
      <c r="C360" s="679"/>
      <c r="D360" s="679"/>
      <c r="E360" s="679"/>
      <c r="F360" s="711"/>
    </row>
    <row r="361" spans="2:6">
      <c r="B361" s="679"/>
      <c r="C361" s="679"/>
      <c r="D361" s="679"/>
      <c r="E361" s="679"/>
      <c r="F361" s="711"/>
    </row>
    <row r="362" spans="2:6">
      <c r="B362" s="679"/>
      <c r="C362" s="679"/>
      <c r="D362" s="679"/>
      <c r="E362" s="679"/>
      <c r="F362" s="711"/>
    </row>
    <row r="363" spans="2:6">
      <c r="B363" s="679"/>
      <c r="C363" s="679"/>
      <c r="D363" s="679"/>
      <c r="E363" s="679"/>
      <c r="F363" s="711"/>
    </row>
    <row r="364" spans="2:6">
      <c r="B364" s="679"/>
      <c r="C364" s="679"/>
      <c r="D364" s="679"/>
      <c r="E364" s="679"/>
      <c r="F364" s="711"/>
    </row>
    <row r="365" spans="2:6">
      <c r="B365" s="679"/>
      <c r="C365" s="679"/>
      <c r="D365" s="679"/>
      <c r="E365" s="679"/>
      <c r="F365" s="711"/>
    </row>
    <row r="366" spans="2:6">
      <c r="B366" s="679"/>
      <c r="C366" s="679"/>
      <c r="D366" s="679"/>
      <c r="E366" s="679"/>
      <c r="F366" s="711"/>
    </row>
    <row r="367" spans="2:6">
      <c r="B367" s="679"/>
      <c r="C367" s="679"/>
      <c r="D367" s="679"/>
      <c r="E367" s="679"/>
      <c r="F367" s="711"/>
    </row>
    <row r="368" spans="2:6">
      <c r="B368" s="679"/>
      <c r="C368" s="679"/>
      <c r="D368" s="679"/>
      <c r="E368" s="679"/>
      <c r="F368" s="711"/>
    </row>
    <row r="369" spans="2:6">
      <c r="B369" s="679"/>
      <c r="C369" s="679"/>
      <c r="D369" s="679"/>
      <c r="E369" s="679"/>
      <c r="F369" s="711"/>
    </row>
    <row r="370" spans="2:6">
      <c r="B370" s="679"/>
      <c r="C370" s="679"/>
      <c r="D370" s="679"/>
      <c r="E370" s="679"/>
      <c r="F370" s="711"/>
    </row>
    <row r="371" spans="2:6">
      <c r="B371" s="679"/>
      <c r="C371" s="679"/>
      <c r="D371" s="679"/>
      <c r="E371" s="679"/>
      <c r="F371" s="711"/>
    </row>
    <row r="372" spans="2:6">
      <c r="B372" s="679"/>
      <c r="C372" s="679"/>
      <c r="D372" s="679"/>
      <c r="E372" s="679"/>
      <c r="F372" s="711"/>
    </row>
    <row r="373" spans="2:6">
      <c r="B373" s="679"/>
      <c r="C373" s="679"/>
      <c r="D373" s="679"/>
      <c r="E373" s="679"/>
      <c r="F373" s="711"/>
    </row>
    <row r="374" spans="2:6">
      <c r="B374" s="679"/>
      <c r="C374" s="679"/>
      <c r="D374" s="679"/>
      <c r="E374" s="679"/>
      <c r="F374" s="711"/>
    </row>
    <row r="375" spans="2:6">
      <c r="B375" s="679"/>
      <c r="C375" s="679"/>
      <c r="D375" s="679"/>
      <c r="E375" s="679"/>
      <c r="F375" s="711"/>
    </row>
    <row r="376" spans="2:6">
      <c r="B376" s="679"/>
      <c r="C376" s="679"/>
      <c r="D376" s="679"/>
      <c r="E376" s="679"/>
      <c r="F376" s="711"/>
    </row>
    <row r="377" spans="2:6">
      <c r="B377" s="679"/>
      <c r="C377" s="679"/>
      <c r="D377" s="679"/>
      <c r="E377" s="679"/>
      <c r="F377" s="711"/>
    </row>
    <row r="378" spans="2:6">
      <c r="B378" s="679"/>
      <c r="C378" s="679"/>
      <c r="D378" s="679"/>
      <c r="E378" s="679"/>
      <c r="F378" s="711"/>
    </row>
    <row r="379" spans="2:6">
      <c r="B379" s="679"/>
      <c r="C379" s="679"/>
      <c r="D379" s="679"/>
      <c r="E379" s="679"/>
      <c r="F379" s="711"/>
    </row>
    <row r="380" spans="2:6">
      <c r="B380" s="679"/>
      <c r="C380" s="679"/>
      <c r="D380" s="679"/>
      <c r="E380" s="679"/>
      <c r="F380" s="711"/>
    </row>
    <row r="381" spans="2:6">
      <c r="B381" s="679"/>
      <c r="C381" s="679"/>
      <c r="D381" s="679"/>
      <c r="E381" s="679"/>
      <c r="F381" s="711"/>
    </row>
    <row r="382" spans="2:6">
      <c r="B382" s="679"/>
      <c r="C382" s="679"/>
      <c r="D382" s="679"/>
      <c r="E382" s="679"/>
      <c r="F382" s="711"/>
    </row>
    <row r="383" spans="2:6">
      <c r="B383" s="679"/>
      <c r="C383" s="679"/>
      <c r="D383" s="679"/>
      <c r="E383" s="679"/>
      <c r="F383" s="711"/>
    </row>
    <row r="384" spans="2:6">
      <c r="B384" s="679"/>
      <c r="C384" s="679"/>
      <c r="D384" s="679"/>
      <c r="E384" s="679"/>
      <c r="F384" s="711"/>
    </row>
    <row r="385" spans="2:6">
      <c r="B385" s="679"/>
      <c r="C385" s="679"/>
      <c r="D385" s="679"/>
      <c r="E385" s="679"/>
      <c r="F385" s="711"/>
    </row>
    <row r="386" spans="2:6">
      <c r="B386" s="679"/>
      <c r="C386" s="679"/>
      <c r="D386" s="679"/>
      <c r="E386" s="679"/>
      <c r="F386" s="711"/>
    </row>
    <row r="387" spans="2:6">
      <c r="B387" s="679"/>
      <c r="C387" s="679"/>
      <c r="D387" s="679"/>
      <c r="E387" s="679"/>
      <c r="F387" s="711"/>
    </row>
    <row r="388" spans="2:6">
      <c r="B388" s="679"/>
      <c r="C388" s="679"/>
      <c r="D388" s="679"/>
      <c r="E388" s="679"/>
      <c r="F388" s="711"/>
    </row>
    <row r="389" spans="2:6">
      <c r="B389" s="679"/>
      <c r="C389" s="679"/>
      <c r="D389" s="679"/>
      <c r="E389" s="679"/>
      <c r="F389" s="711"/>
    </row>
    <row r="390" spans="2:6">
      <c r="B390" s="679"/>
      <c r="C390" s="679"/>
      <c r="D390" s="679"/>
      <c r="E390" s="679"/>
      <c r="F390" s="711"/>
    </row>
    <row r="391" spans="2:6">
      <c r="B391" s="679"/>
      <c r="C391" s="679"/>
      <c r="D391" s="679"/>
      <c r="E391" s="679"/>
      <c r="F391" s="711"/>
    </row>
    <row r="392" spans="2:6">
      <c r="B392" s="679"/>
      <c r="C392" s="679"/>
      <c r="D392" s="679"/>
      <c r="E392" s="679"/>
      <c r="F392" s="711"/>
    </row>
    <row r="393" spans="2:6">
      <c r="B393" s="679"/>
      <c r="C393" s="679"/>
      <c r="D393" s="679"/>
      <c r="E393" s="679"/>
      <c r="F393" s="711"/>
    </row>
    <row r="394" spans="2:6">
      <c r="B394" s="679"/>
      <c r="C394" s="679"/>
      <c r="D394" s="679"/>
      <c r="E394" s="679"/>
      <c r="F394" s="711"/>
    </row>
    <row r="395" spans="2:6">
      <c r="B395" s="679"/>
      <c r="C395" s="679"/>
      <c r="D395" s="679"/>
      <c r="E395" s="679"/>
      <c r="F395" s="711"/>
    </row>
    <row r="396" spans="2:6">
      <c r="B396" s="679"/>
      <c r="C396" s="679"/>
      <c r="D396" s="679"/>
      <c r="E396" s="679"/>
      <c r="F396" s="711"/>
    </row>
    <row r="397" spans="2:6">
      <c r="B397" s="679"/>
      <c r="C397" s="679"/>
      <c r="D397" s="679"/>
      <c r="E397" s="679"/>
      <c r="F397" s="711"/>
    </row>
    <row r="398" spans="2:6">
      <c r="B398" s="679"/>
      <c r="C398" s="679"/>
      <c r="D398" s="679"/>
      <c r="E398" s="679"/>
      <c r="F398" s="711"/>
    </row>
    <row r="399" spans="2:6">
      <c r="B399" s="679"/>
      <c r="C399" s="679"/>
      <c r="D399" s="679"/>
      <c r="E399" s="679"/>
      <c r="F399" s="711"/>
    </row>
    <row r="400" spans="2:6">
      <c r="B400" s="679"/>
      <c r="C400" s="679"/>
      <c r="D400" s="679"/>
      <c r="E400" s="679"/>
      <c r="F400" s="711"/>
    </row>
    <row r="401" spans="2:6">
      <c r="B401" s="679"/>
      <c r="C401" s="679"/>
      <c r="D401" s="679"/>
      <c r="E401" s="679"/>
      <c r="F401" s="711"/>
    </row>
    <row r="402" spans="2:6">
      <c r="B402" s="679"/>
      <c r="C402" s="679"/>
      <c r="D402" s="679"/>
      <c r="E402" s="679"/>
      <c r="F402" s="711"/>
    </row>
    <row r="403" spans="2:6">
      <c r="B403" s="679"/>
      <c r="C403" s="679"/>
      <c r="D403" s="679"/>
      <c r="E403" s="679"/>
      <c r="F403" s="711"/>
    </row>
    <row r="404" spans="2:6">
      <c r="B404" s="679"/>
      <c r="C404" s="679"/>
      <c r="D404" s="679"/>
      <c r="E404" s="679"/>
      <c r="F404" s="711"/>
    </row>
    <row r="405" spans="2:6">
      <c r="B405" s="679"/>
      <c r="C405" s="679"/>
      <c r="D405" s="679"/>
      <c r="E405" s="679"/>
      <c r="F405" s="711"/>
    </row>
    <row r="406" spans="2:6">
      <c r="B406" s="679"/>
      <c r="C406" s="679"/>
      <c r="D406" s="679"/>
      <c r="E406" s="679"/>
      <c r="F406" s="711"/>
    </row>
    <row r="407" spans="2:6">
      <c r="B407" s="679"/>
      <c r="C407" s="679"/>
      <c r="D407" s="679"/>
      <c r="E407" s="679"/>
      <c r="F407" s="711"/>
    </row>
    <row r="408" spans="2:6">
      <c r="B408" s="679"/>
      <c r="C408" s="679"/>
      <c r="D408" s="679"/>
      <c r="E408" s="679"/>
      <c r="F408" s="711"/>
    </row>
    <row r="409" spans="2:6">
      <c r="B409" s="679"/>
      <c r="C409" s="679"/>
      <c r="D409" s="679"/>
      <c r="E409" s="679"/>
      <c r="F409" s="711"/>
    </row>
    <row r="410" spans="2:6">
      <c r="B410" s="679"/>
      <c r="C410" s="679"/>
      <c r="D410" s="679"/>
      <c r="E410" s="679"/>
      <c r="F410" s="711"/>
    </row>
    <row r="411" spans="2:6">
      <c r="B411" s="679"/>
      <c r="C411" s="679"/>
      <c r="D411" s="679"/>
      <c r="E411" s="679"/>
      <c r="F411" s="711"/>
    </row>
    <row r="412" spans="2:6">
      <c r="B412" s="679"/>
      <c r="C412" s="679"/>
      <c r="D412" s="679"/>
      <c r="E412" s="679"/>
      <c r="F412" s="711"/>
    </row>
    <row r="413" spans="2:6">
      <c r="B413" s="679"/>
      <c r="C413" s="679"/>
      <c r="D413" s="679"/>
      <c r="E413" s="679"/>
      <c r="F413" s="711"/>
    </row>
    <row r="414" spans="2:6">
      <c r="B414" s="679"/>
      <c r="C414" s="679"/>
      <c r="D414" s="679"/>
      <c r="E414" s="679"/>
      <c r="F414" s="711"/>
    </row>
    <row r="415" spans="2:6">
      <c r="B415" s="679"/>
      <c r="C415" s="679"/>
      <c r="D415" s="679"/>
      <c r="E415" s="679"/>
      <c r="F415" s="711"/>
    </row>
    <row r="416" spans="2:6">
      <c r="B416" s="679"/>
      <c r="C416" s="679"/>
      <c r="D416" s="679"/>
      <c r="E416" s="679"/>
      <c r="F416" s="711"/>
    </row>
    <row r="417" spans="2:6">
      <c r="B417" s="679"/>
      <c r="C417" s="679"/>
      <c r="D417" s="679"/>
      <c r="E417" s="679"/>
      <c r="F417" s="711"/>
    </row>
    <row r="418" spans="2:6">
      <c r="B418" s="679"/>
      <c r="C418" s="679"/>
      <c r="D418" s="679"/>
      <c r="E418" s="679"/>
      <c r="F418" s="711"/>
    </row>
    <row r="419" spans="2:6">
      <c r="B419" s="679"/>
      <c r="C419" s="679"/>
      <c r="D419" s="679"/>
      <c r="E419" s="679"/>
      <c r="F419" s="711"/>
    </row>
    <row r="420" spans="2:6">
      <c r="B420" s="679"/>
      <c r="C420" s="679"/>
      <c r="D420" s="679"/>
      <c r="E420" s="679"/>
      <c r="F420" s="711"/>
    </row>
    <row r="421" spans="2:6">
      <c r="B421" s="679"/>
      <c r="C421" s="679"/>
      <c r="D421" s="679"/>
      <c r="E421" s="679"/>
      <c r="F421" s="711"/>
    </row>
    <row r="422" spans="2:6">
      <c r="B422" s="679"/>
      <c r="C422" s="679"/>
      <c r="D422" s="679"/>
      <c r="E422" s="679"/>
      <c r="F422" s="711"/>
    </row>
    <row r="423" spans="2:6">
      <c r="B423" s="679"/>
      <c r="C423" s="679"/>
      <c r="D423" s="679"/>
      <c r="E423" s="679"/>
      <c r="F423" s="711"/>
    </row>
    <row r="424" spans="2:6">
      <c r="B424" s="679"/>
      <c r="C424" s="679"/>
      <c r="D424" s="679"/>
      <c r="E424" s="679"/>
      <c r="F424" s="711"/>
    </row>
    <row r="425" spans="2:6">
      <c r="B425" s="679"/>
      <c r="C425" s="679"/>
      <c r="D425" s="679"/>
      <c r="E425" s="679"/>
      <c r="F425" s="711"/>
    </row>
    <row r="426" spans="2:6">
      <c r="B426" s="679"/>
      <c r="C426" s="679"/>
      <c r="D426" s="679"/>
      <c r="E426" s="679"/>
      <c r="F426" s="711"/>
    </row>
    <row r="427" spans="2:6">
      <c r="B427" s="679"/>
      <c r="C427" s="679"/>
      <c r="D427" s="679"/>
      <c r="E427" s="679"/>
      <c r="F427" s="711"/>
    </row>
    <row r="428" spans="2:6">
      <c r="B428" s="679"/>
      <c r="C428" s="679"/>
      <c r="D428" s="679"/>
      <c r="E428" s="679"/>
      <c r="F428" s="711"/>
    </row>
    <row r="429" spans="2:6">
      <c r="B429" s="679"/>
      <c r="C429" s="679"/>
      <c r="D429" s="679"/>
      <c r="E429" s="679"/>
      <c r="F429" s="711"/>
    </row>
    <row r="430" spans="2:6">
      <c r="B430" s="679"/>
      <c r="C430" s="679"/>
      <c r="D430" s="679"/>
      <c r="E430" s="679"/>
      <c r="F430" s="711"/>
    </row>
    <row r="431" spans="2:6">
      <c r="B431" s="679"/>
      <c r="C431" s="679"/>
      <c r="D431" s="679"/>
      <c r="E431" s="679"/>
      <c r="F431" s="711"/>
    </row>
    <row r="432" spans="2:6">
      <c r="B432" s="679"/>
      <c r="C432" s="679"/>
      <c r="D432" s="679"/>
      <c r="E432" s="679"/>
      <c r="F432" s="711"/>
    </row>
    <row r="433" spans="2:6">
      <c r="B433" s="679"/>
      <c r="C433" s="679"/>
      <c r="D433" s="679"/>
      <c r="E433" s="679"/>
      <c r="F433" s="711"/>
    </row>
    <row r="434" spans="2:6">
      <c r="B434" s="679"/>
      <c r="C434" s="679"/>
      <c r="D434" s="679"/>
      <c r="E434" s="679"/>
      <c r="F434" s="711"/>
    </row>
    <row r="435" spans="2:6">
      <c r="B435" s="679"/>
      <c r="C435" s="679"/>
      <c r="D435" s="679"/>
      <c r="E435" s="679"/>
      <c r="F435" s="711"/>
    </row>
    <row r="436" spans="2:6">
      <c r="B436" s="679"/>
      <c r="C436" s="679"/>
      <c r="D436" s="679"/>
      <c r="E436" s="679"/>
      <c r="F436" s="711"/>
    </row>
    <row r="437" spans="2:6">
      <c r="B437" s="679"/>
      <c r="C437" s="679"/>
      <c r="D437" s="679"/>
      <c r="E437" s="679"/>
      <c r="F437" s="711"/>
    </row>
    <row r="438" spans="2:6">
      <c r="B438" s="679"/>
      <c r="C438" s="679"/>
      <c r="D438" s="679"/>
      <c r="E438" s="679"/>
      <c r="F438" s="711"/>
    </row>
    <row r="439" spans="2:6">
      <c r="B439" s="679"/>
      <c r="C439" s="679"/>
      <c r="D439" s="679"/>
      <c r="E439" s="679"/>
      <c r="F439" s="711"/>
    </row>
    <row r="440" spans="2:6">
      <c r="B440" s="679"/>
      <c r="C440" s="679"/>
      <c r="D440" s="679"/>
      <c r="E440" s="679"/>
      <c r="F440" s="711"/>
    </row>
    <row r="441" spans="2:6">
      <c r="B441" s="679"/>
      <c r="C441" s="679"/>
      <c r="D441" s="679"/>
      <c r="E441" s="679"/>
      <c r="F441" s="711"/>
    </row>
    <row r="442" spans="2:6">
      <c r="B442" s="679"/>
      <c r="C442" s="679"/>
      <c r="D442" s="679"/>
      <c r="E442" s="679"/>
      <c r="F442" s="711"/>
    </row>
    <row r="443" spans="2:6">
      <c r="B443" s="679"/>
      <c r="C443" s="679"/>
      <c r="D443" s="679"/>
      <c r="E443" s="679"/>
      <c r="F443" s="711"/>
    </row>
    <row r="444" spans="2:6">
      <c r="B444" s="679"/>
      <c r="C444" s="679"/>
      <c r="D444" s="679"/>
      <c r="E444" s="679"/>
      <c r="F444" s="711"/>
    </row>
    <row r="445" spans="2:6">
      <c r="B445" s="679"/>
      <c r="C445" s="679"/>
      <c r="D445" s="679"/>
      <c r="E445" s="679"/>
      <c r="F445" s="711"/>
    </row>
    <row r="446" spans="2:6">
      <c r="B446" s="679"/>
      <c r="C446" s="679"/>
      <c r="D446" s="679"/>
      <c r="E446" s="679"/>
      <c r="F446" s="711"/>
    </row>
    <row r="447" spans="2:6">
      <c r="B447" s="679"/>
      <c r="C447" s="679"/>
      <c r="D447" s="679"/>
      <c r="E447" s="679"/>
      <c r="F447" s="711"/>
    </row>
    <row r="448" spans="2:6">
      <c r="B448" s="679"/>
      <c r="C448" s="679"/>
      <c r="D448" s="679"/>
      <c r="E448" s="679"/>
      <c r="F448" s="711"/>
    </row>
    <row r="449" spans="2:6">
      <c r="B449" s="679"/>
      <c r="C449" s="679"/>
      <c r="D449" s="679"/>
      <c r="E449" s="679"/>
      <c r="F449" s="711"/>
    </row>
    <row r="450" spans="2:6">
      <c r="B450" s="679"/>
      <c r="C450" s="679"/>
      <c r="D450" s="679"/>
      <c r="E450" s="679"/>
      <c r="F450" s="711"/>
    </row>
    <row r="451" spans="2:6">
      <c r="B451" s="679"/>
      <c r="C451" s="679"/>
      <c r="D451" s="679"/>
      <c r="E451" s="679"/>
      <c r="F451" s="711"/>
    </row>
    <row r="452" spans="2:6">
      <c r="B452" s="679"/>
      <c r="C452" s="679"/>
      <c r="D452" s="679"/>
      <c r="E452" s="679"/>
      <c r="F452" s="711"/>
    </row>
    <row r="453" spans="2:6">
      <c r="B453" s="679"/>
      <c r="C453" s="679"/>
      <c r="D453" s="679"/>
      <c r="E453" s="679"/>
      <c r="F453" s="711"/>
    </row>
    <row r="454" spans="2:6">
      <c r="B454" s="679"/>
      <c r="C454" s="679"/>
      <c r="D454" s="679"/>
      <c r="E454" s="679"/>
      <c r="F454" s="711"/>
    </row>
    <row r="455" spans="2:6">
      <c r="B455" s="679"/>
      <c r="C455" s="679"/>
      <c r="D455" s="679"/>
      <c r="E455" s="679"/>
      <c r="F455" s="711"/>
    </row>
    <row r="456" spans="2:6">
      <c r="B456" s="679"/>
      <c r="C456" s="679"/>
      <c r="D456" s="679"/>
      <c r="E456" s="679"/>
      <c r="F456" s="711"/>
    </row>
    <row r="457" spans="2:6">
      <c r="B457" s="679"/>
      <c r="C457" s="679"/>
      <c r="D457" s="679"/>
      <c r="E457" s="679"/>
      <c r="F457" s="711"/>
    </row>
    <row r="458" spans="2:6">
      <c r="B458" s="679"/>
      <c r="C458" s="679"/>
      <c r="D458" s="679"/>
      <c r="E458" s="679"/>
      <c r="F458" s="711"/>
    </row>
    <row r="459" spans="2:6">
      <c r="B459" s="679"/>
      <c r="C459" s="679"/>
      <c r="D459" s="679"/>
      <c r="E459" s="679"/>
      <c r="F459" s="711"/>
    </row>
    <row r="460" spans="2:6">
      <c r="B460" s="679"/>
      <c r="C460" s="679"/>
      <c r="D460" s="679"/>
      <c r="E460" s="679"/>
      <c r="F460" s="711"/>
    </row>
    <row r="461" spans="2:6">
      <c r="B461" s="679"/>
      <c r="C461" s="679"/>
      <c r="D461" s="679"/>
      <c r="E461" s="679"/>
      <c r="F461" s="711"/>
    </row>
    <row r="462" spans="2:6">
      <c r="B462" s="679"/>
      <c r="C462" s="679"/>
      <c r="D462" s="679"/>
      <c r="E462" s="679"/>
      <c r="F462" s="711"/>
    </row>
    <row r="463" spans="2:6">
      <c r="B463" s="679"/>
      <c r="C463" s="679"/>
      <c r="D463" s="679"/>
      <c r="E463" s="679"/>
      <c r="F463" s="711"/>
    </row>
    <row r="464" spans="2:6">
      <c r="B464" s="679"/>
      <c r="C464" s="679"/>
      <c r="D464" s="679"/>
      <c r="E464" s="679"/>
      <c r="F464" s="711"/>
    </row>
    <row r="465" spans="2:6">
      <c r="B465" s="679"/>
      <c r="C465" s="679"/>
      <c r="D465" s="679"/>
      <c r="E465" s="679"/>
      <c r="F465" s="711"/>
    </row>
    <row r="466" spans="2:6">
      <c r="B466" s="679"/>
      <c r="C466" s="679"/>
      <c r="D466" s="679"/>
      <c r="E466" s="679"/>
      <c r="F466" s="711"/>
    </row>
    <row r="467" spans="2:6">
      <c r="B467" s="679"/>
      <c r="C467" s="679"/>
      <c r="D467" s="679"/>
      <c r="E467" s="679"/>
      <c r="F467" s="711"/>
    </row>
    <row r="468" spans="2:6">
      <c r="B468" s="679"/>
      <c r="C468" s="679"/>
      <c r="D468" s="679"/>
      <c r="E468" s="679"/>
      <c r="F468" s="711"/>
    </row>
    <row r="469" spans="2:6">
      <c r="B469" s="679"/>
      <c r="C469" s="679"/>
      <c r="D469" s="679"/>
      <c r="E469" s="679"/>
      <c r="F469" s="711"/>
    </row>
    <row r="470" spans="2:6">
      <c r="B470" s="679"/>
      <c r="C470" s="679"/>
      <c r="D470" s="679"/>
      <c r="E470" s="679"/>
      <c r="F470" s="711"/>
    </row>
    <row r="471" spans="2:6">
      <c r="B471" s="679"/>
      <c r="C471" s="679"/>
      <c r="D471" s="679"/>
      <c r="E471" s="679"/>
      <c r="F471" s="711"/>
    </row>
    <row r="472" spans="2:6">
      <c r="B472" s="679"/>
      <c r="C472" s="679"/>
      <c r="D472" s="679"/>
      <c r="E472" s="679"/>
      <c r="F472" s="711"/>
    </row>
    <row r="473" spans="2:6">
      <c r="B473" s="679"/>
      <c r="C473" s="679"/>
      <c r="D473" s="679"/>
      <c r="E473" s="679"/>
      <c r="F473" s="711"/>
    </row>
    <row r="474" spans="2:6">
      <c r="B474" s="679"/>
      <c r="C474" s="679"/>
      <c r="D474" s="679"/>
      <c r="E474" s="679"/>
      <c r="F474" s="711"/>
    </row>
    <row r="475" spans="2:6">
      <c r="B475" s="679"/>
      <c r="C475" s="679"/>
      <c r="D475" s="679"/>
      <c r="E475" s="679"/>
      <c r="F475" s="711"/>
    </row>
    <row r="476" spans="2:6">
      <c r="B476" s="679"/>
      <c r="C476" s="679"/>
      <c r="D476" s="679"/>
      <c r="E476" s="679"/>
      <c r="F476" s="711"/>
    </row>
    <row r="477" spans="2:6">
      <c r="B477" s="679"/>
      <c r="C477" s="679"/>
      <c r="D477" s="679"/>
      <c r="E477" s="679"/>
      <c r="F477" s="711"/>
    </row>
    <row r="478" spans="2:6">
      <c r="B478" s="679"/>
      <c r="C478" s="679"/>
      <c r="D478" s="679"/>
      <c r="E478" s="679"/>
      <c r="F478" s="711"/>
    </row>
    <row r="479" spans="2:6">
      <c r="B479" s="679"/>
      <c r="C479" s="679"/>
      <c r="D479" s="679"/>
      <c r="E479" s="679"/>
      <c r="F479" s="711"/>
    </row>
    <row r="480" spans="2:6">
      <c r="B480" s="679"/>
      <c r="C480" s="679"/>
      <c r="D480" s="679"/>
      <c r="E480" s="679"/>
      <c r="F480" s="711"/>
    </row>
    <row r="481" spans="2:6">
      <c r="B481" s="679"/>
      <c r="C481" s="679"/>
      <c r="D481" s="679"/>
      <c r="E481" s="679"/>
      <c r="F481" s="711"/>
    </row>
    <row r="482" spans="2:6">
      <c r="B482" s="679"/>
      <c r="C482" s="679"/>
      <c r="D482" s="679"/>
      <c r="E482" s="679"/>
      <c r="F482" s="711"/>
    </row>
    <row r="483" spans="2:6">
      <c r="B483" s="679"/>
      <c r="C483" s="679"/>
      <c r="D483" s="679"/>
      <c r="E483" s="679"/>
      <c r="F483" s="711"/>
    </row>
    <row r="484" spans="2:6">
      <c r="B484" s="679"/>
      <c r="C484" s="679"/>
      <c r="D484" s="679"/>
      <c r="E484" s="679"/>
      <c r="F484" s="711"/>
    </row>
    <row r="485" spans="2:6">
      <c r="B485" s="679"/>
      <c r="C485" s="679"/>
      <c r="D485" s="679"/>
      <c r="E485" s="679"/>
      <c r="F485" s="711"/>
    </row>
    <row r="486" spans="2:6">
      <c r="B486" s="679"/>
      <c r="C486" s="679"/>
      <c r="D486" s="679"/>
      <c r="E486" s="679"/>
      <c r="F486" s="711"/>
    </row>
    <row r="487" spans="2:6">
      <c r="B487" s="679"/>
      <c r="C487" s="679"/>
      <c r="D487" s="679"/>
      <c r="E487" s="679"/>
      <c r="F487" s="711"/>
    </row>
    <row r="488" spans="2:6">
      <c r="B488" s="679"/>
      <c r="C488" s="679"/>
      <c r="D488" s="679"/>
      <c r="E488" s="679"/>
      <c r="F488" s="711"/>
    </row>
    <row r="489" spans="2:6">
      <c r="B489" s="679"/>
      <c r="C489" s="679"/>
      <c r="D489" s="679"/>
      <c r="E489" s="679"/>
      <c r="F489" s="711"/>
    </row>
    <row r="490" spans="2:6">
      <c r="B490" s="679"/>
      <c r="C490" s="679"/>
      <c r="D490" s="679"/>
      <c r="E490" s="679"/>
      <c r="F490" s="711"/>
    </row>
    <row r="491" spans="2:6">
      <c r="B491" s="679"/>
      <c r="C491" s="679"/>
      <c r="D491" s="679"/>
      <c r="E491" s="679"/>
      <c r="F491" s="711"/>
    </row>
    <row r="492" spans="2:6">
      <c r="B492" s="679"/>
      <c r="C492" s="679"/>
      <c r="D492" s="679"/>
      <c r="E492" s="679"/>
      <c r="F492" s="711"/>
    </row>
    <row r="493" spans="2:6">
      <c r="B493" s="679"/>
      <c r="C493" s="679"/>
      <c r="D493" s="679"/>
      <c r="E493" s="679"/>
      <c r="F493" s="711"/>
    </row>
    <row r="494" spans="2:6">
      <c r="B494" s="679"/>
      <c r="C494" s="679"/>
      <c r="D494" s="679"/>
      <c r="E494" s="679"/>
      <c r="F494" s="711"/>
    </row>
    <row r="495" spans="2:6">
      <c r="B495" s="679"/>
      <c r="C495" s="679"/>
      <c r="D495" s="679"/>
      <c r="E495" s="679"/>
      <c r="F495" s="711"/>
    </row>
    <row r="496" spans="2:6">
      <c r="B496" s="679"/>
      <c r="C496" s="679"/>
      <c r="D496" s="679"/>
      <c r="E496" s="679"/>
      <c r="F496" s="711"/>
    </row>
    <row r="497" spans="2:6">
      <c r="B497" s="679"/>
      <c r="C497" s="679"/>
      <c r="D497" s="679"/>
      <c r="E497" s="679"/>
      <c r="F497" s="711"/>
    </row>
    <row r="498" spans="2:6">
      <c r="B498" s="679"/>
      <c r="C498" s="679"/>
      <c r="D498" s="679"/>
      <c r="E498" s="679"/>
      <c r="F498" s="711"/>
    </row>
    <row r="499" spans="2:6">
      <c r="B499" s="679"/>
      <c r="C499" s="679"/>
      <c r="D499" s="679"/>
      <c r="E499" s="679"/>
      <c r="F499" s="711"/>
    </row>
    <row r="500" spans="2:6">
      <c r="B500" s="679"/>
      <c r="C500" s="679"/>
      <c r="D500" s="679"/>
      <c r="E500" s="679"/>
      <c r="F500" s="711"/>
    </row>
    <row r="501" spans="2:6">
      <c r="B501" s="679"/>
      <c r="C501" s="679"/>
      <c r="D501" s="679"/>
      <c r="E501" s="679"/>
      <c r="F501" s="711"/>
    </row>
    <row r="502" spans="2:6">
      <c r="B502" s="679"/>
      <c r="C502" s="679"/>
      <c r="D502" s="679"/>
      <c r="E502" s="679"/>
      <c r="F502" s="711"/>
    </row>
    <row r="503" spans="2:6">
      <c r="B503" s="679"/>
      <c r="C503" s="679"/>
      <c r="D503" s="679"/>
      <c r="E503" s="679"/>
      <c r="F503" s="711"/>
    </row>
    <row r="504" spans="2:6">
      <c r="B504" s="679"/>
      <c r="C504" s="679"/>
      <c r="D504" s="679"/>
      <c r="E504" s="679"/>
      <c r="F504" s="711"/>
    </row>
    <row r="505" spans="2:6">
      <c r="B505" s="679"/>
      <c r="C505" s="679"/>
      <c r="D505" s="679"/>
      <c r="E505" s="679"/>
      <c r="F505" s="711"/>
    </row>
    <row r="506" spans="2:6">
      <c r="B506" s="679"/>
      <c r="C506" s="679"/>
      <c r="D506" s="679"/>
      <c r="E506" s="679"/>
      <c r="F506" s="711"/>
    </row>
    <row r="507" spans="2:6">
      <c r="B507" s="679"/>
      <c r="C507" s="679"/>
      <c r="D507" s="679"/>
      <c r="E507" s="679"/>
      <c r="F507" s="711"/>
    </row>
    <row r="508" spans="2:6">
      <c r="B508" s="679"/>
      <c r="C508" s="679"/>
      <c r="D508" s="679"/>
      <c r="E508" s="679"/>
      <c r="F508" s="711"/>
    </row>
    <row r="509" spans="2:6">
      <c r="B509" s="679"/>
      <c r="C509" s="679"/>
      <c r="D509" s="679"/>
      <c r="E509" s="679"/>
      <c r="F509" s="711"/>
    </row>
    <row r="510" spans="2:6">
      <c r="B510" s="679"/>
      <c r="C510" s="679"/>
      <c r="D510" s="679"/>
      <c r="E510" s="679"/>
      <c r="F510" s="711"/>
    </row>
    <row r="511" spans="2:6">
      <c r="B511" s="679"/>
      <c r="C511" s="679"/>
      <c r="D511" s="679"/>
      <c r="E511" s="679"/>
      <c r="F511" s="711"/>
    </row>
    <row r="512" spans="2:6">
      <c r="B512" s="679"/>
      <c r="C512" s="679"/>
      <c r="D512" s="679"/>
      <c r="E512" s="679"/>
      <c r="F512" s="711"/>
    </row>
    <row r="513" spans="2:6">
      <c r="B513" s="679"/>
      <c r="C513" s="679"/>
      <c r="D513" s="679"/>
      <c r="E513" s="679"/>
      <c r="F513" s="711"/>
    </row>
    <row r="514" spans="2:6">
      <c r="B514" s="679"/>
      <c r="C514" s="679"/>
      <c r="D514" s="679"/>
      <c r="E514" s="679"/>
      <c r="F514" s="711"/>
    </row>
    <row r="515" spans="2:6">
      <c r="B515" s="679"/>
      <c r="C515" s="679"/>
      <c r="D515" s="679"/>
      <c r="E515" s="679"/>
      <c r="F515" s="711"/>
    </row>
    <row r="516" spans="2:6">
      <c r="B516" s="679"/>
      <c r="C516" s="679"/>
      <c r="D516" s="679"/>
      <c r="E516" s="679"/>
      <c r="F516" s="711"/>
    </row>
    <row r="517" spans="2:6">
      <c r="B517" s="679"/>
      <c r="C517" s="679"/>
      <c r="D517" s="679"/>
      <c r="E517" s="679"/>
      <c r="F517" s="711"/>
    </row>
    <row r="518" spans="2:6">
      <c r="B518" s="679"/>
      <c r="C518" s="679"/>
      <c r="D518" s="679"/>
      <c r="E518" s="679"/>
      <c r="F518" s="711"/>
    </row>
    <row r="519" spans="2:6">
      <c r="B519" s="679"/>
      <c r="C519" s="679"/>
      <c r="D519" s="679"/>
      <c r="E519" s="679"/>
      <c r="F519" s="711"/>
    </row>
    <row r="520" spans="2:6">
      <c r="B520" s="679"/>
      <c r="C520" s="679"/>
      <c r="D520" s="679"/>
      <c r="E520" s="679"/>
      <c r="F520" s="711"/>
    </row>
    <row r="521" spans="2:6">
      <c r="B521" s="679"/>
      <c r="C521" s="679"/>
      <c r="D521" s="679"/>
      <c r="E521" s="679"/>
      <c r="F521" s="711"/>
    </row>
    <row r="522" spans="2:6">
      <c r="B522" s="679"/>
      <c r="C522" s="679"/>
      <c r="D522" s="679"/>
      <c r="E522" s="679"/>
      <c r="F522" s="711"/>
    </row>
    <row r="523" spans="2:6">
      <c r="B523" s="679"/>
      <c r="C523" s="679"/>
      <c r="D523" s="679"/>
      <c r="E523" s="679"/>
      <c r="F523" s="711"/>
    </row>
    <row r="524" spans="2:6">
      <c r="B524" s="679"/>
      <c r="C524" s="679"/>
      <c r="D524" s="679"/>
      <c r="E524" s="679"/>
      <c r="F524" s="711"/>
    </row>
    <row r="525" spans="2:6">
      <c r="B525" s="679"/>
      <c r="C525" s="679"/>
      <c r="D525" s="679"/>
      <c r="E525" s="679"/>
      <c r="F525" s="711"/>
    </row>
    <row r="526" spans="2:6">
      <c r="B526" s="679"/>
      <c r="C526" s="679"/>
      <c r="D526" s="679"/>
      <c r="E526" s="679"/>
      <c r="F526" s="711"/>
    </row>
    <row r="527" spans="2:6">
      <c r="B527" s="679"/>
      <c r="C527" s="679"/>
      <c r="D527" s="679"/>
      <c r="E527" s="679"/>
      <c r="F527" s="711"/>
    </row>
    <row r="528" spans="2:6">
      <c r="B528" s="679"/>
      <c r="C528" s="679"/>
      <c r="D528" s="679"/>
      <c r="E528" s="679"/>
      <c r="F528" s="711"/>
    </row>
    <row r="529" spans="2:6">
      <c r="B529" s="679"/>
      <c r="C529" s="679"/>
      <c r="D529" s="679"/>
      <c r="E529" s="679"/>
      <c r="F529" s="711"/>
    </row>
    <row r="530" spans="2:6">
      <c r="B530" s="679"/>
      <c r="C530" s="679"/>
      <c r="D530" s="679"/>
      <c r="E530" s="679"/>
      <c r="F530" s="711"/>
    </row>
    <row r="531" spans="2:6">
      <c r="B531" s="679"/>
      <c r="C531" s="679"/>
      <c r="D531" s="679"/>
      <c r="E531" s="679"/>
      <c r="F531" s="711"/>
    </row>
    <row r="532" spans="2:6">
      <c r="B532" s="679"/>
      <c r="C532" s="679"/>
      <c r="D532" s="679"/>
      <c r="E532" s="679"/>
      <c r="F532" s="711"/>
    </row>
    <row r="533" spans="2:6">
      <c r="B533" s="679"/>
      <c r="C533" s="679"/>
      <c r="D533" s="679"/>
      <c r="E533" s="679"/>
      <c r="F533" s="711"/>
    </row>
    <row r="534" spans="2:6">
      <c r="B534" s="679"/>
      <c r="C534" s="679"/>
      <c r="D534" s="679"/>
      <c r="E534" s="679"/>
      <c r="F534" s="711"/>
    </row>
    <row r="535" spans="2:6">
      <c r="B535" s="679"/>
      <c r="C535" s="679"/>
      <c r="D535" s="679"/>
      <c r="E535" s="679"/>
      <c r="F535" s="711"/>
    </row>
    <row r="536" spans="2:6">
      <c r="B536" s="679"/>
      <c r="C536" s="679"/>
      <c r="D536" s="679"/>
      <c r="E536" s="679"/>
      <c r="F536" s="711"/>
    </row>
    <row r="537" spans="2:6">
      <c r="B537" s="679"/>
      <c r="C537" s="679"/>
      <c r="D537" s="679"/>
      <c r="E537" s="679"/>
      <c r="F537" s="711"/>
    </row>
    <row r="538" spans="2:6">
      <c r="B538" s="679"/>
      <c r="C538" s="679"/>
      <c r="D538" s="679"/>
      <c r="E538" s="679"/>
      <c r="F538" s="711"/>
    </row>
    <row r="539" spans="2:6">
      <c r="B539" s="679"/>
      <c r="C539" s="679"/>
      <c r="D539" s="679"/>
      <c r="E539" s="679"/>
      <c r="F539" s="711"/>
    </row>
    <row r="540" spans="2:6">
      <c r="B540" s="679"/>
      <c r="C540" s="679"/>
      <c r="D540" s="679"/>
      <c r="E540" s="679"/>
      <c r="F540" s="711"/>
    </row>
    <row r="541" spans="2:6">
      <c r="B541" s="679"/>
      <c r="C541" s="679"/>
      <c r="D541" s="679"/>
      <c r="E541" s="679"/>
      <c r="F541" s="711"/>
    </row>
    <row r="542" spans="2:6">
      <c r="B542" s="679"/>
      <c r="C542" s="679"/>
      <c r="D542" s="679"/>
      <c r="E542" s="679"/>
      <c r="F542" s="711"/>
    </row>
    <row r="543" spans="2:6">
      <c r="B543" s="679"/>
      <c r="C543" s="679"/>
      <c r="D543" s="679"/>
      <c r="E543" s="679"/>
      <c r="F543" s="711"/>
    </row>
    <row r="544" spans="2:6">
      <c r="B544" s="679"/>
      <c r="C544" s="679"/>
      <c r="D544" s="679"/>
      <c r="E544" s="679"/>
      <c r="F544" s="711"/>
    </row>
    <row r="545" spans="2:6">
      <c r="B545" s="679"/>
      <c r="C545" s="679"/>
      <c r="D545" s="679"/>
      <c r="E545" s="679"/>
      <c r="F545" s="711"/>
    </row>
    <row r="546" spans="2:6">
      <c r="B546" s="679"/>
      <c r="C546" s="679"/>
      <c r="D546" s="679"/>
      <c r="E546" s="679"/>
      <c r="F546" s="711"/>
    </row>
    <row r="547" spans="2:6">
      <c r="B547" s="679"/>
      <c r="C547" s="679"/>
      <c r="D547" s="679"/>
      <c r="E547" s="679"/>
      <c r="F547" s="711"/>
    </row>
    <row r="548" spans="2:6">
      <c r="B548" s="679"/>
      <c r="C548" s="679"/>
      <c r="D548" s="679"/>
      <c r="E548" s="679"/>
      <c r="F548" s="711"/>
    </row>
    <row r="549" spans="2:6">
      <c r="B549" s="679"/>
      <c r="C549" s="679"/>
      <c r="D549" s="679"/>
      <c r="E549" s="679"/>
      <c r="F549" s="711"/>
    </row>
    <row r="550" spans="2:6">
      <c r="B550" s="679"/>
      <c r="C550" s="679"/>
      <c r="D550" s="679"/>
      <c r="E550" s="679"/>
      <c r="F550" s="711"/>
    </row>
    <row r="551" spans="2:6">
      <c r="B551" s="679"/>
      <c r="C551" s="679"/>
      <c r="D551" s="679"/>
      <c r="E551" s="679"/>
      <c r="F551" s="711"/>
    </row>
    <row r="552" spans="2:6">
      <c r="B552" s="679"/>
      <c r="C552" s="679"/>
      <c r="D552" s="679"/>
      <c r="E552" s="679"/>
      <c r="F552" s="711"/>
    </row>
    <row r="553" spans="2:6">
      <c r="B553" s="679"/>
      <c r="C553" s="679"/>
      <c r="D553" s="679"/>
      <c r="E553" s="679"/>
      <c r="F553" s="711"/>
    </row>
    <row r="554" spans="2:6">
      <c r="B554" s="679"/>
      <c r="C554" s="679"/>
      <c r="D554" s="679"/>
      <c r="E554" s="679"/>
      <c r="F554" s="711"/>
    </row>
    <row r="555" spans="2:6">
      <c r="B555" s="679"/>
      <c r="C555" s="679"/>
      <c r="D555" s="679"/>
      <c r="E555" s="679"/>
      <c r="F555" s="711"/>
    </row>
    <row r="556" spans="2:6">
      <c r="B556" s="679"/>
      <c r="C556" s="679"/>
      <c r="D556" s="679"/>
      <c r="E556" s="679"/>
      <c r="F556" s="711"/>
    </row>
    <row r="557" spans="2:6">
      <c r="B557" s="679"/>
      <c r="C557" s="679"/>
      <c r="D557" s="679"/>
      <c r="E557" s="679"/>
      <c r="F557" s="711"/>
    </row>
    <row r="558" spans="2:6">
      <c r="B558" s="679"/>
      <c r="C558" s="679"/>
      <c r="D558" s="679"/>
      <c r="E558" s="679"/>
      <c r="F558" s="711"/>
    </row>
    <row r="559" spans="2:6">
      <c r="B559" s="679"/>
      <c r="C559" s="679"/>
      <c r="D559" s="679"/>
      <c r="E559" s="679"/>
      <c r="F559" s="711"/>
    </row>
    <row r="560" spans="2:6">
      <c r="B560" s="679"/>
      <c r="C560" s="679"/>
      <c r="D560" s="679"/>
      <c r="E560" s="679"/>
      <c r="F560" s="711"/>
    </row>
    <row r="561" spans="2:6">
      <c r="B561" s="679"/>
      <c r="C561" s="679"/>
      <c r="D561" s="679"/>
      <c r="E561" s="679"/>
      <c r="F561" s="711"/>
    </row>
    <row r="562" spans="2:6">
      <c r="B562" s="679"/>
      <c r="C562" s="679"/>
      <c r="D562" s="679"/>
      <c r="E562" s="679"/>
      <c r="F562" s="711"/>
    </row>
    <row r="563" spans="2:6">
      <c r="B563" s="679"/>
      <c r="C563" s="679"/>
      <c r="D563" s="679"/>
      <c r="E563" s="679"/>
      <c r="F563" s="711"/>
    </row>
    <row r="564" spans="2:6">
      <c r="B564" s="679"/>
      <c r="C564" s="679"/>
      <c r="D564" s="679"/>
      <c r="E564" s="679"/>
      <c r="F564" s="711"/>
    </row>
    <row r="565" spans="2:6">
      <c r="B565" s="679"/>
      <c r="C565" s="679"/>
      <c r="D565" s="679"/>
      <c r="E565" s="679"/>
      <c r="F565" s="711"/>
    </row>
    <row r="566" spans="2:6">
      <c r="B566" s="679"/>
      <c r="C566" s="679"/>
      <c r="D566" s="679"/>
      <c r="E566" s="679"/>
      <c r="F566" s="711"/>
    </row>
    <row r="567" spans="2:6">
      <c r="B567" s="679"/>
      <c r="C567" s="679"/>
      <c r="D567" s="679"/>
      <c r="E567" s="679"/>
      <c r="F567" s="711"/>
    </row>
    <row r="568" spans="2:6">
      <c r="B568" s="679"/>
      <c r="C568" s="679"/>
      <c r="D568" s="679"/>
      <c r="E568" s="679"/>
      <c r="F568" s="711"/>
    </row>
    <row r="569" spans="2:6">
      <c r="B569" s="679"/>
      <c r="C569" s="679"/>
      <c r="D569" s="679"/>
      <c r="E569" s="679"/>
      <c r="F569" s="711"/>
    </row>
    <row r="570" spans="2:6">
      <c r="B570" s="679"/>
      <c r="C570" s="679"/>
      <c r="D570" s="679"/>
      <c r="E570" s="679"/>
      <c r="F570" s="711"/>
    </row>
    <row r="571" spans="2:6">
      <c r="B571" s="679"/>
      <c r="C571" s="679"/>
      <c r="D571" s="679"/>
      <c r="E571" s="679"/>
      <c r="F571" s="711"/>
    </row>
    <row r="572" spans="2:6">
      <c r="B572" s="679"/>
      <c r="C572" s="679"/>
      <c r="D572" s="679"/>
      <c r="E572" s="679"/>
      <c r="F572" s="711"/>
    </row>
    <row r="573" spans="2:6">
      <c r="B573" s="679"/>
      <c r="C573" s="679"/>
      <c r="D573" s="679"/>
      <c r="E573" s="679"/>
      <c r="F573" s="711"/>
    </row>
    <row r="574" spans="2:6">
      <c r="B574" s="679"/>
      <c r="C574" s="679"/>
      <c r="D574" s="679"/>
      <c r="E574" s="679"/>
      <c r="F574" s="711"/>
    </row>
    <row r="575" spans="2:6">
      <c r="B575" s="679"/>
      <c r="C575" s="679"/>
      <c r="D575" s="679"/>
      <c r="E575" s="679"/>
      <c r="F575" s="711"/>
    </row>
    <row r="576" spans="2:6">
      <c r="B576" s="679"/>
      <c r="C576" s="679"/>
      <c r="D576" s="679"/>
      <c r="E576" s="679"/>
      <c r="F576" s="711"/>
    </row>
    <row r="577" spans="2:6">
      <c r="B577" s="679"/>
      <c r="C577" s="679"/>
      <c r="D577" s="679"/>
      <c r="E577" s="679"/>
      <c r="F577" s="711"/>
    </row>
    <row r="578" spans="2:6">
      <c r="B578" s="679"/>
      <c r="C578" s="679"/>
      <c r="D578" s="679"/>
      <c r="E578" s="679"/>
      <c r="F578" s="711"/>
    </row>
    <row r="579" spans="2:6">
      <c r="B579" s="679"/>
      <c r="C579" s="679"/>
      <c r="D579" s="679"/>
      <c r="E579" s="679"/>
      <c r="F579" s="711"/>
    </row>
    <row r="580" spans="2:6">
      <c r="B580" s="679"/>
      <c r="C580" s="679"/>
      <c r="D580" s="679"/>
      <c r="E580" s="679"/>
      <c r="F580" s="711"/>
    </row>
    <row r="581" spans="2:6">
      <c r="B581" s="679"/>
      <c r="C581" s="679"/>
      <c r="D581" s="679"/>
      <c r="E581" s="679"/>
      <c r="F581" s="711"/>
    </row>
    <row r="582" spans="2:6">
      <c r="B582" s="679"/>
      <c r="C582" s="679"/>
      <c r="D582" s="679"/>
      <c r="E582" s="679"/>
      <c r="F582" s="711"/>
    </row>
    <row r="583" spans="2:6">
      <c r="B583" s="679"/>
      <c r="C583" s="679"/>
      <c r="D583" s="679"/>
      <c r="E583" s="679"/>
      <c r="F583" s="711"/>
    </row>
    <row r="584" spans="2:6">
      <c r="B584" s="679"/>
      <c r="C584" s="679"/>
      <c r="D584" s="679"/>
      <c r="E584" s="679"/>
      <c r="F584" s="711"/>
    </row>
    <row r="585" spans="2:6">
      <c r="B585" s="679"/>
      <c r="C585" s="679"/>
      <c r="D585" s="679"/>
      <c r="E585" s="679"/>
      <c r="F585" s="711"/>
    </row>
    <row r="586" spans="2:6">
      <c r="B586" s="679"/>
      <c r="C586" s="679"/>
      <c r="D586" s="679"/>
      <c r="E586" s="679"/>
      <c r="F586" s="711"/>
    </row>
    <row r="587" spans="2:6">
      <c r="B587" s="679"/>
      <c r="C587" s="679"/>
      <c r="D587" s="679"/>
      <c r="E587" s="679"/>
      <c r="F587" s="711"/>
    </row>
    <row r="588" spans="2:6">
      <c r="B588" s="679"/>
      <c r="C588" s="679"/>
      <c r="D588" s="679"/>
      <c r="E588" s="679"/>
      <c r="F588" s="711"/>
    </row>
    <row r="589" spans="2:6">
      <c r="B589" s="679"/>
      <c r="C589" s="679"/>
      <c r="D589" s="679"/>
      <c r="E589" s="679"/>
      <c r="F589" s="711"/>
    </row>
    <row r="590" spans="2:6">
      <c r="B590" s="679"/>
      <c r="C590" s="679"/>
      <c r="D590" s="679"/>
      <c r="E590" s="679"/>
      <c r="F590" s="711"/>
    </row>
    <row r="591" spans="2:6">
      <c r="B591" s="679"/>
      <c r="C591" s="679"/>
      <c r="D591" s="679"/>
      <c r="E591" s="679"/>
      <c r="F591" s="711"/>
    </row>
    <row r="592" spans="2:6">
      <c r="B592" s="679"/>
      <c r="C592" s="679"/>
      <c r="D592" s="679"/>
      <c r="E592" s="679"/>
      <c r="F592" s="711"/>
    </row>
    <row r="593" spans="2:6">
      <c r="B593" s="679"/>
      <c r="C593" s="679"/>
      <c r="D593" s="679"/>
      <c r="E593" s="679"/>
      <c r="F593" s="711"/>
    </row>
    <row r="594" spans="2:6">
      <c r="B594" s="679"/>
      <c r="C594" s="679"/>
      <c r="D594" s="679"/>
      <c r="E594" s="679"/>
      <c r="F594" s="711"/>
    </row>
    <row r="595" spans="2:6">
      <c r="B595" s="679"/>
      <c r="C595" s="679"/>
      <c r="D595" s="679"/>
      <c r="E595" s="679"/>
      <c r="F595" s="711"/>
    </row>
    <row r="596" spans="2:6">
      <c r="B596" s="679"/>
      <c r="C596" s="679"/>
      <c r="D596" s="679"/>
      <c r="E596" s="679"/>
      <c r="F596" s="711"/>
    </row>
    <row r="597" spans="2:6">
      <c r="B597" s="679"/>
      <c r="C597" s="679"/>
      <c r="D597" s="679"/>
      <c r="E597" s="679"/>
      <c r="F597" s="711"/>
    </row>
    <row r="598" spans="2:6">
      <c r="B598" s="679"/>
      <c r="C598" s="679"/>
      <c r="D598" s="679"/>
      <c r="E598" s="679"/>
      <c r="F598" s="711"/>
    </row>
    <row r="599" spans="2:6">
      <c r="B599" s="679"/>
      <c r="C599" s="679"/>
      <c r="D599" s="679"/>
      <c r="E599" s="679"/>
      <c r="F599" s="711"/>
    </row>
    <row r="600" spans="2:6">
      <c r="B600" s="679"/>
      <c r="C600" s="679"/>
      <c r="D600" s="679"/>
      <c r="E600" s="679"/>
      <c r="F600" s="711"/>
    </row>
    <row r="601" spans="2:6">
      <c r="B601" s="679"/>
      <c r="C601" s="679"/>
      <c r="D601" s="679"/>
      <c r="E601" s="679"/>
      <c r="F601" s="711"/>
    </row>
    <row r="602" spans="2:6">
      <c r="B602" s="679"/>
      <c r="C602" s="679"/>
      <c r="D602" s="679"/>
      <c r="E602" s="679"/>
      <c r="F602" s="711"/>
    </row>
    <row r="603" spans="2:6">
      <c r="B603" s="679"/>
      <c r="C603" s="679"/>
      <c r="D603" s="679"/>
      <c r="E603" s="679"/>
      <c r="F603" s="711"/>
    </row>
    <row r="604" spans="2:6">
      <c r="B604" s="679"/>
      <c r="C604" s="679"/>
      <c r="D604" s="679"/>
      <c r="E604" s="679"/>
      <c r="F604" s="711"/>
    </row>
    <row r="605" spans="2:6">
      <c r="B605" s="679"/>
      <c r="C605" s="679"/>
      <c r="D605" s="679"/>
      <c r="E605" s="679"/>
      <c r="F605" s="711"/>
    </row>
    <row r="606" spans="2:6">
      <c r="B606" s="679"/>
      <c r="C606" s="679"/>
      <c r="D606" s="679"/>
      <c r="E606" s="679"/>
      <c r="F606" s="711"/>
    </row>
    <row r="607" spans="2:6">
      <c r="B607" s="679"/>
      <c r="C607" s="679"/>
      <c r="D607" s="679"/>
      <c r="E607" s="679"/>
      <c r="F607" s="711"/>
    </row>
    <row r="608" spans="2:6">
      <c r="B608" s="679"/>
      <c r="C608" s="679"/>
      <c r="D608" s="679"/>
      <c r="E608" s="679"/>
      <c r="F608" s="711"/>
    </row>
    <row r="609" spans="2:6">
      <c r="B609" s="679"/>
      <c r="C609" s="679"/>
      <c r="D609" s="679"/>
      <c r="E609" s="679"/>
      <c r="F609" s="711"/>
    </row>
    <row r="610" spans="2:6">
      <c r="B610" s="679"/>
      <c r="C610" s="679"/>
      <c r="D610" s="679"/>
      <c r="E610" s="679"/>
      <c r="F610" s="711"/>
    </row>
    <row r="611" spans="2:6">
      <c r="B611" s="679"/>
      <c r="C611" s="679"/>
      <c r="D611" s="679"/>
      <c r="E611" s="679"/>
      <c r="F611" s="711"/>
    </row>
    <row r="612" spans="2:6">
      <c r="B612" s="679"/>
      <c r="C612" s="679"/>
      <c r="D612" s="679"/>
      <c r="E612" s="679"/>
      <c r="F612" s="711"/>
    </row>
    <row r="613" spans="2:6">
      <c r="B613" s="679"/>
      <c r="C613" s="679"/>
      <c r="D613" s="679"/>
      <c r="E613" s="679"/>
      <c r="F613" s="711"/>
    </row>
    <row r="614" spans="2:6">
      <c r="B614" s="679"/>
      <c r="C614" s="679"/>
      <c r="D614" s="679"/>
      <c r="E614" s="679"/>
      <c r="F614" s="711"/>
    </row>
    <row r="615" spans="2:6">
      <c r="B615" s="679"/>
      <c r="C615" s="679"/>
      <c r="D615" s="679"/>
      <c r="E615" s="679"/>
      <c r="F615" s="711"/>
    </row>
    <row r="616" spans="2:6">
      <c r="B616" s="679"/>
      <c r="C616" s="679"/>
      <c r="D616" s="679"/>
      <c r="E616" s="679"/>
      <c r="F616" s="711"/>
    </row>
    <row r="617" spans="2:6">
      <c r="B617" s="679"/>
      <c r="C617" s="679"/>
      <c r="D617" s="679"/>
      <c r="E617" s="679"/>
      <c r="F617" s="711"/>
    </row>
    <row r="618" spans="2:6">
      <c r="B618" s="679"/>
      <c r="C618" s="679"/>
      <c r="D618" s="679"/>
      <c r="E618" s="679"/>
      <c r="F618" s="711"/>
    </row>
    <row r="619" spans="2:6">
      <c r="B619" s="679"/>
      <c r="C619" s="679"/>
      <c r="D619" s="679"/>
      <c r="E619" s="679"/>
      <c r="F619" s="711"/>
    </row>
    <row r="620" spans="2:6">
      <c r="B620" s="679"/>
      <c r="C620" s="679"/>
      <c r="D620" s="679"/>
      <c r="E620" s="679"/>
      <c r="F620" s="711"/>
    </row>
    <row r="621" spans="2:6">
      <c r="B621" s="679"/>
      <c r="C621" s="679"/>
      <c r="D621" s="679"/>
      <c r="E621" s="679"/>
      <c r="F621" s="711"/>
    </row>
    <row r="622" spans="2:6">
      <c r="B622" s="679"/>
      <c r="C622" s="679"/>
      <c r="D622" s="679"/>
      <c r="E622" s="679"/>
      <c r="F622" s="711"/>
    </row>
    <row r="623" spans="2:6">
      <c r="B623" s="679"/>
      <c r="C623" s="679"/>
      <c r="D623" s="679"/>
      <c r="E623" s="679"/>
      <c r="F623" s="711"/>
    </row>
    <row r="624" spans="2:6">
      <c r="B624" s="679"/>
      <c r="C624" s="679"/>
      <c r="D624" s="679"/>
      <c r="E624" s="679"/>
      <c r="F624" s="711"/>
    </row>
    <row r="625" spans="2:6">
      <c r="B625" s="679"/>
      <c r="C625" s="679"/>
      <c r="D625" s="679"/>
      <c r="E625" s="679"/>
      <c r="F625" s="711"/>
    </row>
    <row r="626" spans="2:6">
      <c r="B626" s="679"/>
      <c r="C626" s="679"/>
      <c r="D626" s="679"/>
      <c r="E626" s="679"/>
      <c r="F626" s="711"/>
    </row>
    <row r="627" spans="2:6">
      <c r="B627" s="679"/>
      <c r="C627" s="679"/>
      <c r="D627" s="679"/>
      <c r="E627" s="679"/>
      <c r="F627" s="711"/>
    </row>
    <row r="628" spans="2:6">
      <c r="B628" s="679"/>
      <c r="C628" s="679"/>
      <c r="D628" s="679"/>
      <c r="E628" s="679"/>
      <c r="F628" s="711"/>
    </row>
    <row r="629" spans="2:6">
      <c r="B629" s="679"/>
      <c r="C629" s="679"/>
      <c r="D629" s="679"/>
      <c r="E629" s="679"/>
      <c r="F629" s="711"/>
    </row>
    <row r="630" spans="2:6">
      <c r="B630" s="679"/>
      <c r="C630" s="679"/>
      <c r="D630" s="679"/>
      <c r="E630" s="679"/>
      <c r="F630" s="711"/>
    </row>
    <row r="631" spans="2:6">
      <c r="B631" s="679"/>
      <c r="C631" s="679"/>
      <c r="D631" s="679"/>
      <c r="E631" s="679"/>
      <c r="F631" s="711"/>
    </row>
    <row r="632" spans="2:6">
      <c r="B632" s="679"/>
      <c r="C632" s="679"/>
      <c r="D632" s="679"/>
      <c r="E632" s="679"/>
      <c r="F632" s="711"/>
    </row>
    <row r="633" spans="2:6">
      <c r="B633" s="679"/>
      <c r="C633" s="679"/>
      <c r="D633" s="679"/>
      <c r="E633" s="679"/>
      <c r="F633" s="711"/>
    </row>
    <row r="634" spans="2:6">
      <c r="B634" s="679"/>
      <c r="C634" s="679"/>
      <c r="D634" s="679"/>
      <c r="E634" s="679"/>
      <c r="F634" s="711"/>
    </row>
    <row r="635" spans="2:6">
      <c r="B635" s="679"/>
      <c r="C635" s="679"/>
      <c r="D635" s="679"/>
      <c r="E635" s="679"/>
      <c r="F635" s="711"/>
    </row>
    <row r="636" spans="2:6">
      <c r="B636" s="679"/>
      <c r="C636" s="679"/>
      <c r="D636" s="679"/>
      <c r="E636" s="679"/>
      <c r="F636" s="711"/>
    </row>
    <row r="637" spans="2:6">
      <c r="B637" s="679"/>
      <c r="C637" s="679"/>
      <c r="D637" s="679"/>
      <c r="E637" s="679"/>
      <c r="F637" s="711"/>
    </row>
    <row r="638" spans="2:6">
      <c r="B638" s="679"/>
      <c r="C638" s="679"/>
      <c r="D638" s="679"/>
      <c r="E638" s="679"/>
      <c r="F638" s="711"/>
    </row>
    <row r="639" spans="2:6">
      <c r="B639" s="679"/>
      <c r="C639" s="679"/>
      <c r="D639" s="679"/>
      <c r="E639" s="679"/>
      <c r="F639" s="711"/>
    </row>
    <row r="640" spans="2:6">
      <c r="B640" s="679"/>
      <c r="C640" s="679"/>
      <c r="D640" s="679"/>
      <c r="E640" s="679"/>
      <c r="F640" s="711"/>
    </row>
    <row r="641" spans="2:6">
      <c r="B641" s="679"/>
      <c r="C641" s="679"/>
      <c r="D641" s="679"/>
      <c r="E641" s="679"/>
      <c r="F641" s="711"/>
    </row>
    <row r="642" spans="2:6">
      <c r="B642" s="679"/>
      <c r="C642" s="679"/>
      <c r="D642" s="679"/>
      <c r="E642" s="679"/>
      <c r="F642" s="711"/>
    </row>
    <row r="643" spans="2:6">
      <c r="B643" s="679"/>
      <c r="C643" s="679"/>
      <c r="D643" s="679"/>
      <c r="E643" s="679"/>
      <c r="F643" s="711"/>
    </row>
    <row r="644" spans="2:6">
      <c r="B644" s="679"/>
      <c r="C644" s="679"/>
      <c r="D644" s="679"/>
      <c r="E644" s="679"/>
      <c r="F644" s="711"/>
    </row>
    <row r="645" spans="2:6">
      <c r="B645" s="679"/>
      <c r="C645" s="679"/>
      <c r="D645" s="679"/>
      <c r="E645" s="679"/>
      <c r="F645" s="711"/>
    </row>
    <row r="646" spans="2:6">
      <c r="B646" s="679"/>
      <c r="C646" s="679"/>
      <c r="D646" s="679"/>
      <c r="E646" s="679"/>
      <c r="F646" s="711"/>
    </row>
    <row r="647" spans="2:6">
      <c r="B647" s="679"/>
      <c r="C647" s="679"/>
      <c r="D647" s="679"/>
      <c r="E647" s="679"/>
      <c r="F647" s="711"/>
    </row>
    <row r="648" spans="2:6">
      <c r="B648" s="679"/>
      <c r="C648" s="679"/>
      <c r="D648" s="679"/>
      <c r="E648" s="679"/>
      <c r="F648" s="711"/>
    </row>
    <row r="649" spans="2:6">
      <c r="B649" s="679"/>
      <c r="C649" s="679"/>
      <c r="D649" s="679"/>
      <c r="E649" s="679"/>
      <c r="F649" s="711"/>
    </row>
    <row r="650" spans="2:6">
      <c r="B650" s="679"/>
      <c r="C650" s="679"/>
      <c r="D650" s="679"/>
      <c r="E650" s="679"/>
      <c r="F650" s="711"/>
    </row>
    <row r="651" spans="2:6">
      <c r="B651" s="679"/>
      <c r="C651" s="679"/>
      <c r="D651" s="679"/>
      <c r="E651" s="679"/>
      <c r="F651" s="711"/>
    </row>
    <row r="652" spans="2:6">
      <c r="B652" s="679"/>
      <c r="C652" s="679"/>
      <c r="D652" s="679"/>
      <c r="E652" s="679"/>
      <c r="F652" s="711"/>
    </row>
    <row r="653" spans="2:6">
      <c r="B653" s="679"/>
      <c r="C653" s="679"/>
      <c r="D653" s="679"/>
      <c r="E653" s="679"/>
      <c r="F653" s="711"/>
    </row>
    <row r="654" spans="2:6">
      <c r="B654" s="679"/>
      <c r="C654" s="679"/>
      <c r="D654" s="679"/>
      <c r="E654" s="679"/>
      <c r="F654" s="711"/>
    </row>
    <row r="655" spans="2:6">
      <c r="B655" s="679"/>
      <c r="C655" s="679"/>
      <c r="D655" s="679"/>
      <c r="E655" s="679"/>
      <c r="F655" s="711"/>
    </row>
    <row r="656" spans="2:6">
      <c r="B656" s="679"/>
      <c r="C656" s="679"/>
      <c r="D656" s="679"/>
      <c r="E656" s="679"/>
      <c r="F656" s="711"/>
    </row>
    <row r="657" spans="2:6">
      <c r="B657" s="679"/>
      <c r="C657" s="679"/>
      <c r="D657" s="679"/>
      <c r="E657" s="679"/>
      <c r="F657" s="711"/>
    </row>
    <row r="658" spans="2:6">
      <c r="B658" s="679"/>
      <c r="C658" s="679"/>
      <c r="D658" s="679"/>
      <c r="E658" s="679"/>
      <c r="F658" s="711"/>
    </row>
    <row r="659" spans="2:6">
      <c r="B659" s="679"/>
      <c r="C659" s="679"/>
      <c r="D659" s="679"/>
      <c r="E659" s="679"/>
      <c r="F659" s="711"/>
    </row>
    <row r="660" spans="2:6">
      <c r="B660" s="679"/>
      <c r="C660" s="679"/>
      <c r="D660" s="679"/>
      <c r="E660" s="679"/>
      <c r="F660" s="711"/>
    </row>
    <row r="661" spans="2:6">
      <c r="B661" s="679"/>
      <c r="C661" s="679"/>
      <c r="D661" s="679"/>
      <c r="E661" s="679"/>
      <c r="F661" s="711"/>
    </row>
    <row r="662" spans="2:6">
      <c r="B662" s="679"/>
      <c r="C662" s="679"/>
      <c r="D662" s="679"/>
      <c r="E662" s="679"/>
      <c r="F662" s="711"/>
    </row>
    <row r="663" spans="2:6">
      <c r="B663" s="679"/>
      <c r="C663" s="679"/>
      <c r="D663" s="679"/>
      <c r="E663" s="679"/>
      <c r="F663" s="711"/>
    </row>
    <row r="664" spans="2:6">
      <c r="B664" s="679"/>
      <c r="C664" s="679"/>
      <c r="D664" s="679"/>
      <c r="E664" s="679"/>
      <c r="F664" s="711"/>
    </row>
    <row r="665" spans="2:6">
      <c r="B665" s="679"/>
      <c r="C665" s="679"/>
      <c r="D665" s="679"/>
      <c r="E665" s="679"/>
      <c r="F665" s="711"/>
    </row>
    <row r="666" spans="2:6">
      <c r="B666" s="679"/>
      <c r="C666" s="679"/>
      <c r="D666" s="679"/>
      <c r="E666" s="679"/>
      <c r="F666" s="711"/>
    </row>
    <row r="667" spans="2:6">
      <c r="B667" s="679"/>
      <c r="C667" s="679"/>
      <c r="D667" s="679"/>
      <c r="E667" s="679"/>
      <c r="F667" s="711"/>
    </row>
    <row r="668" spans="2:6">
      <c r="B668" s="679"/>
      <c r="C668" s="679"/>
      <c r="D668" s="679"/>
      <c r="E668" s="679"/>
      <c r="F668" s="711"/>
    </row>
    <row r="669" spans="2:6">
      <c r="B669" s="679"/>
      <c r="C669" s="679"/>
      <c r="D669" s="679"/>
      <c r="E669" s="679"/>
      <c r="F669" s="711"/>
    </row>
    <row r="670" spans="2:6">
      <c r="B670" s="679"/>
      <c r="C670" s="679"/>
      <c r="D670" s="679"/>
      <c r="E670" s="679"/>
      <c r="F670" s="711"/>
    </row>
    <row r="671" spans="2:6">
      <c r="B671" s="679"/>
      <c r="C671" s="679"/>
      <c r="D671" s="679"/>
      <c r="E671" s="679"/>
      <c r="F671" s="711"/>
    </row>
    <row r="672" spans="2:6">
      <c r="B672" s="679"/>
      <c r="C672" s="679"/>
      <c r="D672" s="679"/>
      <c r="E672" s="679"/>
      <c r="F672" s="711"/>
    </row>
    <row r="673" spans="2:6">
      <c r="B673" s="679"/>
      <c r="C673" s="679"/>
      <c r="D673" s="679"/>
      <c r="E673" s="679"/>
      <c r="F673" s="711"/>
    </row>
    <row r="674" spans="2:6">
      <c r="B674" s="679"/>
      <c r="C674" s="679"/>
      <c r="D674" s="679"/>
      <c r="E674" s="679"/>
      <c r="F674" s="711"/>
    </row>
    <row r="675" spans="2:6">
      <c r="B675" s="679"/>
      <c r="C675" s="679"/>
      <c r="D675" s="679"/>
      <c r="E675" s="679"/>
      <c r="F675" s="711"/>
    </row>
    <row r="676" spans="2:6">
      <c r="B676" s="679"/>
      <c r="C676" s="679"/>
      <c r="D676" s="679"/>
      <c r="E676" s="679"/>
      <c r="F676" s="711"/>
    </row>
    <row r="677" spans="2:6">
      <c r="B677" s="679"/>
      <c r="C677" s="679"/>
      <c r="D677" s="679"/>
      <c r="E677" s="679"/>
      <c r="F677" s="711"/>
    </row>
    <row r="678" spans="2:6">
      <c r="B678" s="679"/>
      <c r="C678" s="679"/>
      <c r="D678" s="679"/>
      <c r="E678" s="679"/>
      <c r="F678" s="711"/>
    </row>
    <row r="679" spans="2:6">
      <c r="B679" s="679"/>
      <c r="C679" s="679"/>
      <c r="D679" s="679"/>
      <c r="E679" s="679"/>
      <c r="F679" s="711"/>
    </row>
    <row r="680" spans="2:6">
      <c r="B680" s="679"/>
      <c r="C680" s="679"/>
      <c r="D680" s="679"/>
      <c r="E680" s="679"/>
      <c r="F680" s="711"/>
    </row>
    <row r="681" spans="2:6">
      <c r="B681" s="679"/>
      <c r="C681" s="679"/>
      <c r="D681" s="679"/>
      <c r="E681" s="679"/>
      <c r="F681" s="711"/>
    </row>
    <row r="682" spans="2:6">
      <c r="B682" s="679"/>
      <c r="C682" s="679"/>
      <c r="D682" s="679"/>
      <c r="E682" s="679"/>
      <c r="F682" s="711"/>
    </row>
    <row r="683" spans="2:6">
      <c r="B683" s="679"/>
      <c r="C683" s="679"/>
      <c r="D683" s="679"/>
      <c r="E683" s="679"/>
      <c r="F683" s="711"/>
    </row>
    <row r="684" spans="2:6">
      <c r="B684" s="679"/>
      <c r="C684" s="679"/>
      <c r="D684" s="679"/>
      <c r="E684" s="679"/>
      <c r="F684" s="711"/>
    </row>
    <row r="685" spans="2:6">
      <c r="B685" s="679"/>
      <c r="C685" s="679"/>
      <c r="D685" s="679"/>
      <c r="E685" s="679"/>
      <c r="F685" s="711"/>
    </row>
    <row r="686" spans="2:6">
      <c r="B686" s="679"/>
      <c r="C686" s="679"/>
      <c r="D686" s="679"/>
      <c r="E686" s="679"/>
      <c r="F686" s="711"/>
    </row>
    <row r="687" spans="2:6">
      <c r="B687" s="679"/>
      <c r="C687" s="679"/>
      <c r="D687" s="679"/>
      <c r="E687" s="679"/>
      <c r="F687" s="711"/>
    </row>
    <row r="688" spans="2:6">
      <c r="B688" s="679"/>
      <c r="C688" s="679"/>
      <c r="D688" s="679"/>
      <c r="E688" s="679"/>
      <c r="F688" s="711"/>
    </row>
    <row r="689" spans="2:6">
      <c r="B689" s="679"/>
      <c r="C689" s="679"/>
      <c r="D689" s="679"/>
      <c r="E689" s="679"/>
      <c r="F689" s="711"/>
    </row>
    <row r="690" spans="2:6">
      <c r="B690" s="679"/>
      <c r="C690" s="679"/>
      <c r="D690" s="679"/>
      <c r="E690" s="679"/>
      <c r="F690" s="711"/>
    </row>
    <row r="691" spans="2:6">
      <c r="B691" s="679"/>
      <c r="C691" s="679"/>
      <c r="D691" s="679"/>
      <c r="E691" s="679"/>
      <c r="F691" s="711"/>
    </row>
    <row r="692" spans="2:6">
      <c r="B692" s="679"/>
      <c r="C692" s="679"/>
      <c r="D692" s="679"/>
      <c r="E692" s="679"/>
      <c r="F692" s="711"/>
    </row>
    <row r="693" spans="2:6">
      <c r="B693" s="679"/>
      <c r="C693" s="679"/>
      <c r="D693" s="679"/>
      <c r="E693" s="679"/>
      <c r="F693" s="711"/>
    </row>
    <row r="694" spans="2:6">
      <c r="B694" s="679"/>
      <c r="C694" s="679"/>
      <c r="D694" s="679"/>
      <c r="E694" s="679"/>
      <c r="F694" s="711"/>
    </row>
    <row r="695" spans="2:6">
      <c r="B695" s="679"/>
      <c r="C695" s="679"/>
      <c r="D695" s="679"/>
      <c r="E695" s="679"/>
      <c r="F695" s="711"/>
    </row>
    <row r="696" spans="2:6">
      <c r="B696" s="679"/>
      <c r="C696" s="679"/>
      <c r="D696" s="679"/>
      <c r="E696" s="679"/>
      <c r="F696" s="711"/>
    </row>
    <row r="697" spans="2:6">
      <c r="B697" s="679"/>
      <c r="C697" s="679"/>
      <c r="D697" s="679"/>
      <c r="E697" s="679"/>
      <c r="F697" s="711"/>
    </row>
    <row r="698" spans="2:6">
      <c r="B698" s="679"/>
      <c r="C698" s="679"/>
      <c r="D698" s="679"/>
      <c r="E698" s="679"/>
      <c r="F698" s="711"/>
    </row>
    <row r="699" spans="2:6">
      <c r="B699" s="679"/>
      <c r="C699" s="679"/>
      <c r="D699" s="679"/>
      <c r="E699" s="679"/>
      <c r="F699" s="711"/>
    </row>
    <row r="700" spans="2:6">
      <c r="B700" s="679"/>
      <c r="C700" s="679"/>
      <c r="D700" s="679"/>
      <c r="E700" s="679"/>
      <c r="F700" s="711"/>
    </row>
    <row r="701" spans="2:6">
      <c r="B701" s="679"/>
      <c r="C701" s="679"/>
      <c r="D701" s="679"/>
      <c r="E701" s="679"/>
      <c r="F701" s="711"/>
    </row>
    <row r="702" spans="2:6">
      <c r="B702" s="679"/>
      <c r="C702" s="679"/>
      <c r="D702" s="679"/>
      <c r="E702" s="679"/>
      <c r="F702" s="711"/>
    </row>
    <row r="703" spans="2:6">
      <c r="B703" s="679"/>
      <c r="C703" s="679"/>
      <c r="D703" s="679"/>
      <c r="E703" s="679"/>
      <c r="F703" s="711"/>
    </row>
    <row r="704" spans="2:6">
      <c r="B704" s="679"/>
      <c r="C704" s="679"/>
      <c r="D704" s="679"/>
      <c r="E704" s="679"/>
      <c r="F704" s="711"/>
    </row>
    <row r="705" spans="2:6">
      <c r="B705" s="679"/>
      <c r="C705" s="679"/>
      <c r="D705" s="679"/>
      <c r="E705" s="679"/>
      <c r="F705" s="711"/>
    </row>
    <row r="706" spans="2:6">
      <c r="B706" s="679"/>
      <c r="C706" s="679"/>
      <c r="D706" s="679"/>
      <c r="E706" s="679"/>
      <c r="F706" s="711"/>
    </row>
    <row r="707" spans="2:6">
      <c r="B707" s="679"/>
      <c r="C707" s="679"/>
      <c r="D707" s="679"/>
      <c r="E707" s="679"/>
      <c r="F707" s="711"/>
    </row>
    <row r="708" spans="2:6">
      <c r="B708" s="679"/>
      <c r="C708" s="679"/>
      <c r="D708" s="679"/>
      <c r="E708" s="679"/>
      <c r="F708" s="711"/>
    </row>
    <row r="709" spans="2:6">
      <c r="B709" s="679"/>
      <c r="C709" s="679"/>
      <c r="D709" s="679"/>
      <c r="E709" s="679"/>
      <c r="F709" s="711"/>
    </row>
    <row r="710" spans="2:6">
      <c r="B710" s="679"/>
      <c r="C710" s="679"/>
      <c r="D710" s="679"/>
      <c r="E710" s="679"/>
      <c r="F710" s="711"/>
    </row>
    <row r="711" spans="2:6">
      <c r="B711" s="679"/>
      <c r="C711" s="679"/>
      <c r="D711" s="679"/>
      <c r="E711" s="679"/>
      <c r="F711" s="711"/>
    </row>
    <row r="712" spans="2:6">
      <c r="B712" s="679"/>
      <c r="C712" s="679"/>
      <c r="D712" s="679"/>
      <c r="E712" s="679"/>
      <c r="F712" s="711"/>
    </row>
    <row r="713" spans="2:6">
      <c r="B713" s="679"/>
      <c r="C713" s="679"/>
      <c r="D713" s="679"/>
      <c r="E713" s="679"/>
      <c r="F713" s="711"/>
    </row>
    <row r="714" spans="2:6">
      <c r="B714" s="679"/>
      <c r="C714" s="679"/>
      <c r="D714" s="679"/>
      <c r="E714" s="679"/>
      <c r="F714" s="711"/>
    </row>
    <row r="715" spans="2:6">
      <c r="B715" s="679"/>
      <c r="C715" s="679"/>
      <c r="D715" s="679"/>
      <c r="E715" s="679"/>
      <c r="F715" s="711"/>
    </row>
    <row r="716" spans="2:6">
      <c r="B716" s="679"/>
      <c r="C716" s="679"/>
      <c r="D716" s="679"/>
      <c r="E716" s="679"/>
      <c r="F716" s="711"/>
    </row>
    <row r="717" spans="2:6">
      <c r="B717" s="679"/>
      <c r="C717" s="679"/>
      <c r="D717" s="679"/>
      <c r="E717" s="679"/>
      <c r="F717" s="711"/>
    </row>
    <row r="718" spans="2:6">
      <c r="B718" s="679"/>
      <c r="C718" s="679"/>
      <c r="D718" s="679"/>
      <c r="E718" s="679"/>
      <c r="F718" s="711"/>
    </row>
    <row r="719" spans="2:6">
      <c r="B719" s="679"/>
      <c r="C719" s="679"/>
      <c r="D719" s="679"/>
      <c r="E719" s="679"/>
      <c r="F719" s="711"/>
    </row>
    <row r="720" spans="2:6">
      <c r="B720" s="679"/>
      <c r="C720" s="679"/>
      <c r="D720" s="679"/>
      <c r="E720" s="679"/>
      <c r="F720" s="711"/>
    </row>
    <row r="721" spans="2:6">
      <c r="B721" s="679"/>
      <c r="C721" s="679"/>
      <c r="D721" s="679"/>
      <c r="E721" s="679"/>
      <c r="F721" s="711"/>
    </row>
    <row r="722" spans="2:6">
      <c r="B722" s="679"/>
      <c r="C722" s="679"/>
      <c r="D722" s="679"/>
      <c r="E722" s="679"/>
      <c r="F722" s="711"/>
    </row>
    <row r="723" spans="2:6">
      <c r="B723" s="679"/>
      <c r="C723" s="679"/>
      <c r="D723" s="679"/>
      <c r="E723" s="679"/>
      <c r="F723" s="711"/>
    </row>
    <row r="724" spans="2:6">
      <c r="B724" s="679"/>
      <c r="C724" s="679"/>
      <c r="D724" s="679"/>
      <c r="E724" s="679"/>
      <c r="F724" s="711"/>
    </row>
    <row r="725" spans="2:6">
      <c r="B725" s="679"/>
      <c r="C725" s="679"/>
      <c r="D725" s="679"/>
      <c r="E725" s="679"/>
      <c r="F725" s="711"/>
    </row>
    <row r="726" spans="2:6">
      <c r="B726" s="679"/>
      <c r="C726" s="679"/>
      <c r="D726" s="679"/>
      <c r="E726" s="679"/>
      <c r="F726" s="711"/>
    </row>
    <row r="727" spans="2:6">
      <c r="B727" s="679"/>
      <c r="C727" s="679"/>
      <c r="D727" s="679"/>
      <c r="E727" s="679"/>
      <c r="F727" s="711"/>
    </row>
    <row r="728" spans="2:6">
      <c r="B728" s="679"/>
      <c r="C728" s="679"/>
      <c r="D728" s="679"/>
      <c r="E728" s="679"/>
      <c r="F728" s="711"/>
    </row>
    <row r="729" spans="2:6">
      <c r="B729" s="679"/>
      <c r="C729" s="679"/>
      <c r="D729" s="679"/>
      <c r="E729" s="679"/>
      <c r="F729" s="711"/>
    </row>
    <row r="730" spans="2:6">
      <c r="B730" s="679"/>
      <c r="C730" s="679"/>
      <c r="D730" s="679"/>
      <c r="E730" s="679"/>
      <c r="F730" s="711"/>
    </row>
    <row r="731" spans="2:6">
      <c r="B731" s="679"/>
      <c r="C731" s="679"/>
      <c r="D731" s="679"/>
      <c r="E731" s="679"/>
      <c r="F731" s="711"/>
    </row>
    <row r="732" spans="2:6">
      <c r="B732" s="679"/>
      <c r="C732" s="679"/>
      <c r="D732" s="679"/>
      <c r="E732" s="679"/>
      <c r="F732" s="711"/>
    </row>
    <row r="733" spans="2:6">
      <c r="B733" s="679"/>
      <c r="C733" s="679"/>
      <c r="D733" s="679"/>
      <c r="E733" s="679"/>
      <c r="F733" s="711"/>
    </row>
    <row r="734" spans="2:6">
      <c r="B734" s="679"/>
      <c r="C734" s="679"/>
      <c r="D734" s="679"/>
      <c r="E734" s="679"/>
      <c r="F734" s="711"/>
    </row>
    <row r="735" spans="2:6">
      <c r="B735" s="679"/>
      <c r="C735" s="679"/>
      <c r="D735" s="679"/>
      <c r="E735" s="679"/>
      <c r="F735" s="711"/>
    </row>
    <row r="736" spans="2:6">
      <c r="B736" s="679"/>
      <c r="C736" s="679"/>
      <c r="D736" s="679"/>
      <c r="E736" s="679"/>
      <c r="F736" s="711"/>
    </row>
    <row r="737" spans="2:6">
      <c r="B737" s="679"/>
      <c r="C737" s="679"/>
      <c r="D737" s="679"/>
      <c r="E737" s="679"/>
      <c r="F737" s="711"/>
    </row>
    <row r="738" spans="2:6">
      <c r="B738" s="679"/>
      <c r="C738" s="679"/>
      <c r="D738" s="679"/>
      <c r="E738" s="679"/>
      <c r="F738" s="711"/>
    </row>
    <row r="739" spans="2:6">
      <c r="B739" s="679"/>
      <c r="C739" s="679"/>
      <c r="D739" s="679"/>
      <c r="E739" s="679"/>
      <c r="F739" s="711"/>
    </row>
    <row r="740" spans="2:6">
      <c r="B740" s="679"/>
      <c r="C740" s="679"/>
      <c r="D740" s="679"/>
      <c r="E740" s="679"/>
      <c r="F740" s="711"/>
    </row>
    <row r="741" spans="2:6">
      <c r="B741" s="679"/>
      <c r="C741" s="679"/>
      <c r="D741" s="679"/>
      <c r="E741" s="679"/>
      <c r="F741" s="711"/>
    </row>
    <row r="742" spans="2:6">
      <c r="B742" s="679"/>
      <c r="C742" s="679"/>
      <c r="D742" s="679"/>
      <c r="E742" s="679"/>
      <c r="F742" s="711"/>
    </row>
    <row r="743" spans="2:6">
      <c r="B743" s="679"/>
      <c r="C743" s="679"/>
      <c r="D743" s="679"/>
      <c r="E743" s="679"/>
      <c r="F743" s="711"/>
    </row>
    <row r="744" spans="2:6">
      <c r="B744" s="679"/>
      <c r="C744" s="679"/>
      <c r="D744" s="679"/>
      <c r="E744" s="679"/>
      <c r="F744" s="711"/>
    </row>
    <row r="745" spans="2:6">
      <c r="B745" s="679"/>
      <c r="C745" s="679"/>
      <c r="D745" s="679"/>
      <c r="E745" s="679"/>
      <c r="F745" s="711"/>
    </row>
    <row r="746" spans="2:6">
      <c r="B746" s="679"/>
      <c r="C746" s="679"/>
      <c r="D746" s="679"/>
      <c r="E746" s="679"/>
      <c r="F746" s="711"/>
    </row>
    <row r="747" spans="2:6">
      <c r="B747" s="679"/>
      <c r="C747" s="679"/>
      <c r="D747" s="679"/>
      <c r="E747" s="679"/>
      <c r="F747" s="711"/>
    </row>
    <row r="748" spans="2:6">
      <c r="B748" s="679"/>
      <c r="C748" s="679"/>
      <c r="D748" s="679"/>
      <c r="E748" s="679"/>
      <c r="F748" s="711"/>
    </row>
    <row r="749" spans="2:6">
      <c r="B749" s="679"/>
      <c r="C749" s="679"/>
      <c r="D749" s="679"/>
      <c r="E749" s="679"/>
      <c r="F749" s="711"/>
    </row>
    <row r="750" spans="2:6">
      <c r="B750" s="679"/>
      <c r="C750" s="679"/>
      <c r="D750" s="679"/>
      <c r="E750" s="679"/>
      <c r="F750" s="711"/>
    </row>
    <row r="751" spans="2:6">
      <c r="B751" s="679"/>
      <c r="C751" s="679"/>
      <c r="D751" s="679"/>
      <c r="E751" s="679"/>
      <c r="F751" s="711"/>
    </row>
    <row r="752" spans="2:6">
      <c r="B752" s="679"/>
      <c r="C752" s="679"/>
      <c r="D752" s="679"/>
      <c r="E752" s="679"/>
      <c r="F752" s="711"/>
    </row>
    <row r="753" spans="2:6">
      <c r="B753" s="679"/>
      <c r="C753" s="679"/>
      <c r="D753" s="679"/>
      <c r="E753" s="679"/>
      <c r="F753" s="711"/>
    </row>
    <row r="754" spans="2:6">
      <c r="B754" s="679"/>
      <c r="C754" s="679"/>
      <c r="D754" s="679"/>
      <c r="E754" s="679"/>
      <c r="F754" s="711"/>
    </row>
    <row r="755" spans="2:6">
      <c r="B755" s="679"/>
      <c r="C755" s="679"/>
      <c r="D755" s="679"/>
      <c r="E755" s="679"/>
      <c r="F755" s="711"/>
    </row>
    <row r="756" spans="2:6">
      <c r="B756" s="679"/>
      <c r="C756" s="679"/>
      <c r="D756" s="679"/>
      <c r="E756" s="679"/>
      <c r="F756" s="711"/>
    </row>
    <row r="757" spans="2:6">
      <c r="B757" s="679"/>
      <c r="C757" s="679"/>
      <c r="D757" s="679"/>
      <c r="E757" s="679"/>
      <c r="F757" s="711"/>
    </row>
    <row r="758" spans="2:6">
      <c r="B758" s="679"/>
      <c r="C758" s="679"/>
      <c r="D758" s="679"/>
      <c r="E758" s="679"/>
      <c r="F758" s="711"/>
    </row>
    <row r="759" spans="2:6">
      <c r="B759" s="679"/>
      <c r="C759" s="679"/>
      <c r="D759" s="679"/>
      <c r="E759" s="679"/>
      <c r="F759" s="711"/>
    </row>
    <row r="760" spans="2:6">
      <c r="B760" s="679"/>
      <c r="C760" s="679"/>
      <c r="D760" s="679"/>
      <c r="E760" s="679"/>
      <c r="F760" s="711"/>
    </row>
    <row r="761" spans="2:6">
      <c r="B761" s="679"/>
      <c r="C761" s="679"/>
      <c r="D761" s="679"/>
      <c r="E761" s="679"/>
      <c r="F761" s="711"/>
    </row>
    <row r="762" spans="2:6">
      <c r="B762" s="679"/>
      <c r="C762" s="679"/>
      <c r="D762" s="679"/>
      <c r="E762" s="679"/>
      <c r="F762" s="711"/>
    </row>
    <row r="763" spans="2:6">
      <c r="B763" s="679"/>
      <c r="C763" s="679"/>
      <c r="D763" s="679"/>
      <c r="E763" s="679"/>
      <c r="F763" s="711"/>
    </row>
    <row r="764" spans="2:6">
      <c r="B764" s="679"/>
      <c r="C764" s="679"/>
      <c r="D764" s="679"/>
      <c r="E764" s="679"/>
      <c r="F764" s="711"/>
    </row>
    <row r="765" spans="2:6">
      <c r="B765" s="679"/>
      <c r="C765" s="679"/>
      <c r="D765" s="679"/>
      <c r="E765" s="679"/>
      <c r="F765" s="711"/>
    </row>
    <row r="766" spans="2:6">
      <c r="B766" s="679"/>
      <c r="C766" s="679"/>
      <c r="D766" s="679"/>
      <c r="E766" s="679"/>
      <c r="F766" s="711"/>
    </row>
    <row r="767" spans="2:6">
      <c r="B767" s="679"/>
      <c r="C767" s="679"/>
      <c r="D767" s="679"/>
      <c r="E767" s="679"/>
      <c r="F767" s="711"/>
    </row>
    <row r="768" spans="2:6">
      <c r="B768" s="679"/>
      <c r="C768" s="679"/>
      <c r="D768" s="679"/>
      <c r="E768" s="679"/>
      <c r="F768" s="711"/>
    </row>
    <row r="769" spans="2:6">
      <c r="B769" s="679"/>
      <c r="C769" s="679"/>
      <c r="D769" s="679"/>
      <c r="E769" s="679"/>
      <c r="F769" s="711"/>
    </row>
    <row r="770" spans="2:6">
      <c r="B770" s="679"/>
      <c r="C770" s="679"/>
      <c r="D770" s="679"/>
      <c r="E770" s="679"/>
      <c r="F770" s="711"/>
    </row>
    <row r="771" spans="2:6">
      <c r="B771" s="679"/>
      <c r="C771" s="679"/>
      <c r="D771" s="679"/>
      <c r="E771" s="679"/>
      <c r="F771" s="711"/>
    </row>
    <row r="772" spans="2:6">
      <c r="B772" s="679"/>
      <c r="C772" s="679"/>
      <c r="D772" s="679"/>
      <c r="E772" s="679"/>
      <c r="F772" s="711"/>
    </row>
    <row r="773" spans="2:6">
      <c r="B773" s="679"/>
      <c r="C773" s="679"/>
      <c r="D773" s="679"/>
      <c r="E773" s="679"/>
      <c r="F773" s="711"/>
    </row>
    <row r="774" spans="2:6">
      <c r="B774" s="679"/>
      <c r="C774" s="679"/>
      <c r="D774" s="679"/>
      <c r="E774" s="679"/>
      <c r="F774" s="711"/>
    </row>
    <row r="775" spans="2:6">
      <c r="B775" s="679"/>
      <c r="C775" s="679"/>
      <c r="D775" s="679"/>
      <c r="E775" s="679"/>
      <c r="F775" s="711"/>
    </row>
    <row r="776" spans="2:6">
      <c r="B776" s="679"/>
      <c r="C776" s="679"/>
      <c r="D776" s="679"/>
      <c r="E776" s="679"/>
      <c r="F776" s="711"/>
    </row>
    <row r="777" spans="2:6">
      <c r="B777" s="679"/>
      <c r="C777" s="679"/>
      <c r="D777" s="679"/>
      <c r="E777" s="679"/>
      <c r="F777" s="711"/>
    </row>
    <row r="778" spans="2:6">
      <c r="B778" s="679"/>
      <c r="C778" s="679"/>
      <c r="D778" s="679"/>
      <c r="E778" s="679"/>
      <c r="F778" s="711"/>
    </row>
    <row r="779" spans="2:6">
      <c r="B779" s="679"/>
      <c r="C779" s="679"/>
      <c r="D779" s="679"/>
      <c r="E779" s="679"/>
      <c r="F779" s="711"/>
    </row>
    <row r="780" spans="2:6">
      <c r="B780" s="679"/>
      <c r="C780" s="679"/>
      <c r="D780" s="679"/>
      <c r="E780" s="679"/>
      <c r="F780" s="711"/>
    </row>
    <row r="781" spans="2:6">
      <c r="B781" s="679"/>
      <c r="C781" s="679"/>
      <c r="D781" s="679"/>
      <c r="E781" s="679"/>
      <c r="F781" s="711"/>
    </row>
    <row r="782" spans="2:6">
      <c r="B782" s="679"/>
      <c r="C782" s="679"/>
      <c r="D782" s="679"/>
      <c r="E782" s="679"/>
      <c r="F782" s="711"/>
    </row>
    <row r="783" spans="2:6">
      <c r="B783" s="679"/>
      <c r="C783" s="679"/>
      <c r="D783" s="679"/>
      <c r="E783" s="679"/>
      <c r="F783" s="711"/>
    </row>
    <row r="784" spans="2:6">
      <c r="B784" s="679"/>
      <c r="C784" s="679"/>
      <c r="D784" s="679"/>
      <c r="E784" s="679"/>
      <c r="F784" s="711"/>
    </row>
    <row r="785" spans="2:6">
      <c r="B785" s="679"/>
      <c r="C785" s="679"/>
      <c r="D785" s="679"/>
      <c r="E785" s="679"/>
      <c r="F785" s="711"/>
    </row>
    <row r="786" spans="2:6">
      <c r="B786" s="679"/>
      <c r="C786" s="679"/>
      <c r="D786" s="679"/>
      <c r="E786" s="679"/>
      <c r="F786" s="711"/>
    </row>
    <row r="787" spans="2:6">
      <c r="B787" s="679"/>
      <c r="C787" s="679"/>
      <c r="D787" s="679"/>
      <c r="E787" s="679"/>
      <c r="F787" s="711"/>
    </row>
    <row r="788" spans="2:6">
      <c r="B788" s="679"/>
      <c r="C788" s="679"/>
      <c r="D788" s="679"/>
      <c r="E788" s="679"/>
      <c r="F788" s="711"/>
    </row>
    <row r="789" spans="2:6">
      <c r="B789" s="679"/>
      <c r="C789" s="679"/>
      <c r="D789" s="679"/>
      <c r="E789" s="679"/>
      <c r="F789" s="711"/>
    </row>
    <row r="790" spans="2:6">
      <c r="B790" s="679"/>
      <c r="C790" s="679"/>
      <c r="D790" s="679"/>
      <c r="E790" s="679"/>
      <c r="F790" s="711"/>
    </row>
    <row r="791" spans="2:6">
      <c r="B791" s="679"/>
      <c r="C791" s="679"/>
      <c r="D791" s="679"/>
      <c r="E791" s="679"/>
      <c r="F791" s="711"/>
    </row>
    <row r="792" spans="2:6">
      <c r="B792" s="679"/>
      <c r="C792" s="679"/>
      <c r="D792" s="679"/>
      <c r="E792" s="679"/>
      <c r="F792" s="711"/>
    </row>
    <row r="793" spans="2:6">
      <c r="B793" s="679"/>
      <c r="C793" s="679"/>
      <c r="D793" s="679"/>
      <c r="E793" s="679"/>
      <c r="F793" s="711"/>
    </row>
    <row r="794" spans="2:6">
      <c r="B794" s="679"/>
      <c r="C794" s="679"/>
      <c r="D794" s="679"/>
      <c r="E794" s="679"/>
      <c r="F794" s="711"/>
    </row>
    <row r="795" spans="2:6">
      <c r="B795" s="679"/>
      <c r="C795" s="679"/>
      <c r="D795" s="679"/>
      <c r="E795" s="679"/>
      <c r="F795" s="711"/>
    </row>
    <row r="796" spans="2:6">
      <c r="B796" s="679"/>
      <c r="C796" s="679"/>
      <c r="D796" s="679"/>
      <c r="E796" s="679"/>
      <c r="F796" s="711"/>
    </row>
    <row r="797" spans="2:6">
      <c r="B797" s="679"/>
      <c r="C797" s="679"/>
      <c r="D797" s="679"/>
      <c r="E797" s="679"/>
      <c r="F797" s="711"/>
    </row>
    <row r="798" spans="2:6">
      <c r="B798" s="679"/>
      <c r="C798" s="679"/>
      <c r="D798" s="679"/>
      <c r="E798" s="679"/>
      <c r="F798" s="711"/>
    </row>
    <row r="799" spans="2:6">
      <c r="B799" s="679"/>
      <c r="C799" s="679"/>
      <c r="D799" s="679"/>
      <c r="E799" s="679"/>
      <c r="F799" s="711"/>
    </row>
    <row r="800" spans="2:6">
      <c r="B800" s="679"/>
      <c r="C800" s="679"/>
      <c r="D800" s="679"/>
      <c r="E800" s="679"/>
      <c r="F800" s="711"/>
    </row>
    <row r="801" spans="2:6">
      <c r="B801" s="679"/>
      <c r="C801" s="679"/>
      <c r="D801" s="679"/>
      <c r="E801" s="679"/>
      <c r="F801" s="711"/>
    </row>
    <row r="802" spans="2:6">
      <c r="B802" s="679"/>
      <c r="C802" s="679"/>
      <c r="D802" s="679"/>
      <c r="E802" s="679"/>
      <c r="F802" s="711"/>
    </row>
    <row r="803" spans="2:6">
      <c r="B803" s="679"/>
      <c r="C803" s="679"/>
      <c r="D803" s="679"/>
      <c r="E803" s="679"/>
      <c r="F803" s="711"/>
    </row>
    <row r="804" spans="2:6">
      <c r="B804" s="679"/>
      <c r="C804" s="679"/>
      <c r="D804" s="679"/>
      <c r="E804" s="679"/>
      <c r="F804" s="711"/>
    </row>
    <row r="805" spans="2:6">
      <c r="B805" s="679"/>
      <c r="C805" s="679"/>
      <c r="D805" s="679"/>
      <c r="E805" s="679"/>
      <c r="F805" s="711"/>
    </row>
    <row r="806" spans="2:6">
      <c r="B806" s="679"/>
      <c r="C806" s="679"/>
      <c r="D806" s="679"/>
      <c r="E806" s="679"/>
      <c r="F806" s="711"/>
    </row>
    <row r="807" spans="2:6">
      <c r="B807" s="679"/>
      <c r="C807" s="679"/>
      <c r="D807" s="679"/>
      <c r="E807" s="679"/>
      <c r="F807" s="711"/>
    </row>
    <row r="808" spans="2:6">
      <c r="B808" s="679"/>
      <c r="C808" s="679"/>
      <c r="D808" s="679"/>
      <c r="E808" s="679"/>
      <c r="F808" s="711"/>
    </row>
    <row r="809" spans="2:6">
      <c r="B809" s="679"/>
      <c r="C809" s="679"/>
      <c r="D809" s="679"/>
      <c r="E809" s="679"/>
      <c r="F809" s="711"/>
    </row>
    <row r="810" spans="2:6">
      <c r="B810" s="679"/>
      <c r="C810" s="679"/>
      <c r="D810" s="679"/>
      <c r="E810" s="679"/>
      <c r="F810" s="711"/>
    </row>
    <row r="811" spans="2:6">
      <c r="B811" s="679"/>
      <c r="C811" s="679"/>
      <c r="D811" s="679"/>
      <c r="E811" s="679"/>
      <c r="F811" s="711"/>
    </row>
    <row r="812" spans="2:6">
      <c r="B812" s="679"/>
      <c r="C812" s="679"/>
      <c r="D812" s="679"/>
      <c r="E812" s="679"/>
      <c r="F812" s="711"/>
    </row>
    <row r="813" spans="2:6">
      <c r="B813" s="679"/>
      <c r="C813" s="679"/>
      <c r="D813" s="679"/>
      <c r="E813" s="679"/>
      <c r="F813" s="711"/>
    </row>
    <row r="814" spans="2:6">
      <c r="B814" s="679"/>
      <c r="C814" s="679"/>
      <c r="D814" s="679"/>
      <c r="E814" s="679"/>
      <c r="F814" s="711"/>
    </row>
    <row r="815" spans="2:6">
      <c r="B815" s="679"/>
      <c r="C815" s="679"/>
      <c r="D815" s="679"/>
      <c r="E815" s="679"/>
      <c r="F815" s="711"/>
    </row>
    <row r="816" spans="2:6">
      <c r="B816" s="679"/>
      <c r="C816" s="679"/>
      <c r="D816" s="679"/>
      <c r="E816" s="679"/>
      <c r="F816" s="711"/>
    </row>
    <row r="817" spans="2:6">
      <c r="B817" s="679"/>
      <c r="C817" s="679"/>
      <c r="D817" s="679"/>
      <c r="E817" s="679"/>
      <c r="F817" s="711"/>
    </row>
    <row r="818" spans="2:6">
      <c r="B818" s="679"/>
      <c r="C818" s="679"/>
      <c r="D818" s="679"/>
      <c r="E818" s="679"/>
      <c r="F818" s="711"/>
    </row>
    <row r="819" spans="2:6">
      <c r="B819" s="679"/>
      <c r="C819" s="679"/>
      <c r="D819" s="679"/>
      <c r="E819" s="679"/>
      <c r="F819" s="711"/>
    </row>
    <row r="820" spans="2:6">
      <c r="B820" s="679"/>
      <c r="C820" s="679"/>
      <c r="D820" s="679"/>
      <c r="E820" s="679"/>
      <c r="F820" s="711"/>
    </row>
    <row r="821" spans="2:6">
      <c r="B821" s="679"/>
      <c r="C821" s="679"/>
      <c r="D821" s="679"/>
      <c r="E821" s="679"/>
      <c r="F821" s="711"/>
    </row>
    <row r="822" spans="2:6">
      <c r="B822" s="679"/>
      <c r="C822" s="679"/>
      <c r="D822" s="679"/>
      <c r="E822" s="679"/>
      <c r="F822" s="711"/>
    </row>
    <row r="823" spans="2:6">
      <c r="B823" s="679"/>
      <c r="C823" s="679"/>
      <c r="D823" s="679"/>
      <c r="E823" s="679"/>
      <c r="F823" s="711"/>
    </row>
    <row r="824" spans="2:6">
      <c r="B824" s="679"/>
      <c r="C824" s="679"/>
      <c r="D824" s="679"/>
      <c r="E824" s="679"/>
      <c r="F824" s="711"/>
    </row>
    <row r="825" spans="2:6">
      <c r="B825" s="679"/>
      <c r="C825" s="679"/>
      <c r="D825" s="679"/>
      <c r="E825" s="679"/>
      <c r="F825" s="711"/>
    </row>
    <row r="826" spans="2:6">
      <c r="B826" s="679"/>
      <c r="C826" s="679"/>
      <c r="D826" s="679"/>
      <c r="E826" s="679"/>
      <c r="F826" s="711"/>
    </row>
    <row r="827" spans="2:6">
      <c r="B827" s="679"/>
      <c r="C827" s="679"/>
      <c r="D827" s="679"/>
      <c r="E827" s="679"/>
      <c r="F827" s="711"/>
    </row>
    <row r="828" spans="2:6">
      <c r="B828" s="679"/>
      <c r="C828" s="679"/>
      <c r="D828" s="679"/>
      <c r="E828" s="679"/>
      <c r="F828" s="711"/>
    </row>
    <row r="829" spans="2:6">
      <c r="B829" s="679"/>
      <c r="C829" s="679"/>
      <c r="D829" s="679"/>
      <c r="E829" s="679"/>
      <c r="F829" s="711"/>
    </row>
    <row r="830" spans="2:6">
      <c r="B830" s="679"/>
      <c r="C830" s="679"/>
      <c r="D830" s="679"/>
      <c r="E830" s="679"/>
      <c r="F830" s="711"/>
    </row>
    <row r="831" spans="2:6">
      <c r="B831" s="679"/>
      <c r="C831" s="679"/>
      <c r="D831" s="679"/>
      <c r="E831" s="679"/>
      <c r="F831" s="711"/>
    </row>
    <row r="832" spans="2:6">
      <c r="B832" s="679"/>
      <c r="C832" s="679"/>
      <c r="D832" s="679"/>
      <c r="E832" s="679"/>
      <c r="F832" s="711"/>
    </row>
    <row r="833" spans="2:6">
      <c r="B833" s="679"/>
      <c r="C833" s="679"/>
      <c r="D833" s="679"/>
      <c r="E833" s="679"/>
      <c r="F833" s="711"/>
    </row>
    <row r="834" spans="2:6">
      <c r="B834" s="679"/>
      <c r="C834" s="679"/>
      <c r="D834" s="679"/>
      <c r="E834" s="679"/>
      <c r="F834" s="711"/>
    </row>
    <row r="835" spans="2:6">
      <c r="B835" s="679"/>
      <c r="C835" s="679"/>
      <c r="D835" s="679"/>
      <c r="E835" s="679"/>
      <c r="F835" s="711"/>
    </row>
    <row r="836" spans="2:6">
      <c r="B836" s="679"/>
      <c r="C836" s="679"/>
      <c r="D836" s="679"/>
      <c r="E836" s="679"/>
      <c r="F836" s="711"/>
    </row>
    <row r="837" spans="2:6">
      <c r="B837" s="679"/>
      <c r="C837" s="679"/>
      <c r="D837" s="679"/>
      <c r="E837" s="679"/>
      <c r="F837" s="711"/>
    </row>
    <row r="838" spans="2:6">
      <c r="B838" s="679"/>
      <c r="C838" s="679"/>
      <c r="D838" s="679"/>
      <c r="E838" s="679"/>
      <c r="F838" s="711"/>
    </row>
    <row r="839" spans="2:6">
      <c r="B839" s="679"/>
      <c r="C839" s="679"/>
      <c r="D839" s="679"/>
      <c r="E839" s="679"/>
      <c r="F839" s="711"/>
    </row>
    <row r="840" spans="2:6">
      <c r="B840" s="679"/>
      <c r="C840" s="679"/>
      <c r="D840" s="679"/>
      <c r="E840" s="679"/>
      <c r="F840" s="711"/>
    </row>
    <row r="841" spans="2:6">
      <c r="B841" s="679"/>
      <c r="C841" s="679"/>
      <c r="D841" s="679"/>
      <c r="E841" s="679"/>
      <c r="F841" s="711"/>
    </row>
    <row r="842" spans="2:6">
      <c r="B842" s="679"/>
      <c r="C842" s="679"/>
      <c r="D842" s="679"/>
      <c r="E842" s="679"/>
      <c r="F842" s="711"/>
    </row>
    <row r="843" spans="2:6">
      <c r="B843" s="679"/>
      <c r="C843" s="679"/>
      <c r="D843" s="679"/>
      <c r="E843" s="679"/>
      <c r="F843" s="711"/>
    </row>
    <row r="844" spans="2:6">
      <c r="B844" s="679"/>
      <c r="C844" s="679"/>
      <c r="D844" s="679"/>
      <c r="E844" s="679"/>
      <c r="F844" s="711"/>
    </row>
    <row r="845" spans="2:6">
      <c r="B845" s="679"/>
      <c r="C845" s="679"/>
      <c r="D845" s="679"/>
      <c r="E845" s="679"/>
      <c r="F845" s="711"/>
    </row>
    <row r="846" spans="2:6">
      <c r="B846" s="679"/>
      <c r="C846" s="679"/>
      <c r="D846" s="679"/>
      <c r="E846" s="679"/>
      <c r="F846" s="711"/>
    </row>
    <row r="847" spans="2:6">
      <c r="B847" s="679"/>
      <c r="C847" s="679"/>
      <c r="D847" s="679"/>
      <c r="E847" s="679"/>
      <c r="F847" s="711"/>
    </row>
    <row r="848" spans="2:6">
      <c r="B848" s="679"/>
      <c r="C848" s="679"/>
      <c r="D848" s="679"/>
      <c r="E848" s="679"/>
      <c r="F848" s="711"/>
    </row>
    <row r="849" spans="2:6">
      <c r="B849" s="679"/>
      <c r="C849" s="679"/>
      <c r="D849" s="679"/>
      <c r="E849" s="679"/>
      <c r="F849" s="711"/>
    </row>
    <row r="850" spans="2:6">
      <c r="B850" s="679"/>
      <c r="C850" s="679"/>
      <c r="D850" s="679"/>
      <c r="E850" s="679"/>
      <c r="F850" s="711"/>
    </row>
    <row r="851" spans="2:6">
      <c r="B851" s="679"/>
      <c r="C851" s="679"/>
      <c r="D851" s="679"/>
      <c r="E851" s="679"/>
      <c r="F851" s="711"/>
    </row>
    <row r="852" spans="2:6">
      <c r="B852" s="679"/>
      <c r="C852" s="679"/>
      <c r="D852" s="679"/>
      <c r="E852" s="679"/>
      <c r="F852" s="711"/>
    </row>
    <row r="853" spans="2:6">
      <c r="B853" s="679"/>
      <c r="C853" s="679"/>
      <c r="D853" s="679"/>
      <c r="E853" s="679"/>
      <c r="F853" s="711"/>
    </row>
    <row r="854" spans="2:6">
      <c r="B854" s="679"/>
      <c r="C854" s="679"/>
      <c r="D854" s="679"/>
      <c r="E854" s="679"/>
      <c r="F854" s="711"/>
    </row>
    <row r="855" spans="2:6">
      <c r="B855" s="679"/>
      <c r="C855" s="679"/>
      <c r="D855" s="679"/>
      <c r="E855" s="679"/>
      <c r="F855" s="711"/>
    </row>
    <row r="856" spans="2:6">
      <c r="B856" s="679"/>
      <c r="C856" s="679"/>
      <c r="D856" s="679"/>
      <c r="E856" s="679"/>
      <c r="F856" s="711"/>
    </row>
    <row r="857" spans="2:6">
      <c r="B857" s="679"/>
      <c r="C857" s="679"/>
      <c r="D857" s="679"/>
      <c r="E857" s="679"/>
      <c r="F857" s="711"/>
    </row>
    <row r="858" spans="2:6">
      <c r="B858" s="679"/>
      <c r="C858" s="679"/>
      <c r="D858" s="679"/>
      <c r="E858" s="679"/>
      <c r="F858" s="711"/>
    </row>
    <row r="859" spans="2:6">
      <c r="B859" s="679"/>
      <c r="C859" s="679"/>
      <c r="D859" s="679"/>
      <c r="E859" s="679"/>
      <c r="F859" s="711"/>
    </row>
    <row r="860" spans="2:6">
      <c r="B860" s="679"/>
      <c r="C860" s="679"/>
      <c r="D860" s="679"/>
      <c r="E860" s="679"/>
      <c r="F860" s="711"/>
    </row>
    <row r="861" spans="2:6">
      <c r="B861" s="679"/>
      <c r="C861" s="679"/>
      <c r="D861" s="679"/>
      <c r="E861" s="679"/>
      <c r="F861" s="711"/>
    </row>
    <row r="862" spans="2:6">
      <c r="B862" s="679"/>
      <c r="C862" s="679"/>
      <c r="D862" s="679"/>
      <c r="E862" s="679"/>
      <c r="F862" s="711"/>
    </row>
    <row r="863" spans="2:6">
      <c r="B863" s="679"/>
      <c r="C863" s="679"/>
      <c r="D863" s="679"/>
      <c r="E863" s="679"/>
      <c r="F863" s="711"/>
    </row>
    <row r="864" spans="2:6">
      <c r="B864" s="679"/>
      <c r="C864" s="679"/>
      <c r="D864" s="679"/>
      <c r="E864" s="679"/>
      <c r="F864" s="711"/>
    </row>
    <row r="865" spans="2:6">
      <c r="B865" s="679"/>
      <c r="C865" s="679"/>
      <c r="D865" s="679"/>
      <c r="E865" s="679"/>
      <c r="F865" s="711"/>
    </row>
    <row r="866" spans="2:6">
      <c r="B866" s="679"/>
      <c r="C866" s="679"/>
      <c r="D866" s="679"/>
      <c r="E866" s="679"/>
      <c r="F866" s="711"/>
    </row>
    <row r="867" spans="2:6">
      <c r="B867" s="679"/>
      <c r="C867" s="679"/>
      <c r="D867" s="679"/>
      <c r="E867" s="679"/>
      <c r="F867" s="711"/>
    </row>
    <row r="868" spans="2:6">
      <c r="B868" s="679"/>
      <c r="C868" s="679"/>
      <c r="D868" s="679"/>
      <c r="E868" s="679"/>
      <c r="F868" s="711"/>
    </row>
    <row r="869" spans="2:6">
      <c r="B869" s="679"/>
      <c r="C869" s="679"/>
      <c r="D869" s="679"/>
      <c r="E869" s="679"/>
      <c r="F869" s="711"/>
    </row>
    <row r="870" spans="2:6">
      <c r="B870" s="679"/>
      <c r="C870" s="679"/>
      <c r="D870" s="679"/>
      <c r="E870" s="679"/>
      <c r="F870" s="711"/>
    </row>
    <row r="871" spans="2:6">
      <c r="B871" s="679"/>
      <c r="C871" s="679"/>
      <c r="D871" s="679"/>
      <c r="E871" s="679"/>
      <c r="F871" s="711"/>
    </row>
    <row r="872" spans="2:6">
      <c r="B872" s="679"/>
      <c r="C872" s="679"/>
      <c r="D872" s="679"/>
      <c r="E872" s="679"/>
      <c r="F872" s="711"/>
    </row>
    <row r="873" spans="2:6">
      <c r="B873" s="679"/>
      <c r="C873" s="679"/>
      <c r="D873" s="679"/>
      <c r="E873" s="679"/>
      <c r="F873" s="711"/>
    </row>
    <row r="874" spans="2:6">
      <c r="B874" s="679"/>
      <c r="C874" s="679"/>
      <c r="D874" s="679"/>
      <c r="E874" s="679"/>
      <c r="F874" s="711"/>
    </row>
    <row r="875" spans="2:6">
      <c r="B875" s="679"/>
      <c r="C875" s="679"/>
      <c r="D875" s="679"/>
      <c r="E875" s="679"/>
      <c r="F875" s="711"/>
    </row>
    <row r="876" spans="2:6">
      <c r="B876" s="679"/>
      <c r="C876" s="679"/>
      <c r="D876" s="679"/>
      <c r="E876" s="679"/>
      <c r="F876" s="711"/>
    </row>
    <row r="877" spans="2:6">
      <c r="B877" s="679"/>
      <c r="C877" s="679"/>
      <c r="D877" s="679"/>
      <c r="E877" s="679"/>
      <c r="F877" s="711"/>
    </row>
    <row r="878" spans="2:6">
      <c r="B878" s="679"/>
      <c r="C878" s="679"/>
      <c r="D878" s="679"/>
      <c r="E878" s="679"/>
      <c r="F878" s="711"/>
    </row>
    <row r="879" spans="2:6">
      <c r="B879" s="679"/>
      <c r="C879" s="679"/>
      <c r="D879" s="679"/>
      <c r="E879" s="679"/>
      <c r="F879" s="711"/>
    </row>
    <row r="880" spans="2:6">
      <c r="B880" s="679"/>
      <c r="C880" s="679"/>
      <c r="D880" s="679"/>
      <c r="E880" s="679"/>
      <c r="F880" s="711"/>
    </row>
    <row r="881" spans="2:6">
      <c r="B881" s="679"/>
      <c r="C881" s="679"/>
      <c r="D881" s="679"/>
      <c r="E881" s="679"/>
      <c r="F881" s="711"/>
    </row>
    <row r="882" spans="2:6">
      <c r="B882" s="679"/>
      <c r="C882" s="679"/>
      <c r="D882" s="679"/>
      <c r="E882" s="679"/>
      <c r="F882" s="711"/>
    </row>
    <row r="883" spans="2:6">
      <c r="B883" s="679"/>
      <c r="C883" s="679"/>
      <c r="D883" s="679"/>
      <c r="E883" s="679"/>
      <c r="F883" s="711"/>
    </row>
    <row r="884" spans="2:6">
      <c r="B884" s="679"/>
      <c r="C884" s="679"/>
      <c r="D884" s="679"/>
      <c r="E884" s="679"/>
      <c r="F884" s="711"/>
    </row>
    <row r="885" spans="2:6">
      <c r="B885" s="679"/>
      <c r="C885" s="679"/>
      <c r="D885" s="679"/>
      <c r="E885" s="679"/>
      <c r="F885" s="711"/>
    </row>
    <row r="886" spans="2:6">
      <c r="B886" s="679"/>
      <c r="C886" s="679"/>
      <c r="D886" s="679"/>
      <c r="E886" s="679"/>
      <c r="F886" s="711"/>
    </row>
    <row r="887" spans="2:6">
      <c r="B887" s="679"/>
      <c r="C887" s="679"/>
      <c r="D887" s="679"/>
      <c r="E887" s="679"/>
      <c r="F887" s="711"/>
    </row>
    <row r="888" spans="2:6">
      <c r="B888" s="679"/>
      <c r="C888" s="679"/>
      <c r="D888" s="679"/>
      <c r="E888" s="679"/>
      <c r="F888" s="711"/>
    </row>
    <row r="889" spans="2:6">
      <c r="B889" s="679"/>
      <c r="C889" s="679"/>
      <c r="D889" s="679"/>
      <c r="E889" s="679"/>
      <c r="F889" s="711"/>
    </row>
    <row r="890" spans="2:6">
      <c r="B890" s="679"/>
      <c r="C890" s="679"/>
      <c r="D890" s="679"/>
      <c r="E890" s="679"/>
      <c r="F890" s="711"/>
    </row>
    <row r="891" spans="2:6">
      <c r="B891" s="679"/>
      <c r="C891" s="679"/>
      <c r="D891" s="679"/>
      <c r="E891" s="679"/>
      <c r="F891" s="711"/>
    </row>
    <row r="892" spans="2:6">
      <c r="B892" s="679"/>
      <c r="C892" s="679"/>
      <c r="D892" s="679"/>
      <c r="E892" s="679"/>
      <c r="F892" s="711"/>
    </row>
    <row r="893" spans="2:6">
      <c r="B893" s="679"/>
      <c r="C893" s="679"/>
      <c r="D893" s="679"/>
      <c r="E893" s="679"/>
      <c r="F893" s="711"/>
    </row>
    <row r="894" spans="2:6">
      <c r="B894" s="679"/>
      <c r="C894" s="679"/>
      <c r="D894" s="679"/>
      <c r="E894" s="679"/>
      <c r="F894" s="711"/>
    </row>
    <row r="895" spans="2:6">
      <c r="B895" s="679"/>
      <c r="C895" s="679"/>
      <c r="D895" s="679"/>
      <c r="E895" s="679"/>
      <c r="F895" s="711"/>
    </row>
    <row r="896" spans="2:6">
      <c r="B896" s="679"/>
      <c r="C896" s="679"/>
      <c r="D896" s="679"/>
      <c r="E896" s="679"/>
      <c r="F896" s="711"/>
    </row>
    <row r="897" spans="2:6">
      <c r="B897" s="679"/>
      <c r="C897" s="679"/>
      <c r="D897" s="679"/>
      <c r="E897" s="679"/>
      <c r="F897" s="711"/>
    </row>
    <row r="898" spans="2:6">
      <c r="B898" s="679"/>
      <c r="C898" s="679"/>
      <c r="D898" s="679"/>
      <c r="E898" s="679"/>
      <c r="F898" s="711"/>
    </row>
    <row r="899" spans="2:6">
      <c r="B899" s="679"/>
      <c r="C899" s="679"/>
      <c r="D899" s="679"/>
      <c r="E899" s="679"/>
      <c r="F899" s="711"/>
    </row>
    <row r="900" spans="2:6">
      <c r="B900" s="679"/>
      <c r="C900" s="679"/>
      <c r="D900" s="679"/>
      <c r="E900" s="679"/>
      <c r="F900" s="711"/>
    </row>
    <row r="901" spans="2:6">
      <c r="B901" s="679"/>
      <c r="C901" s="679"/>
      <c r="D901" s="679"/>
      <c r="E901" s="679"/>
      <c r="F901" s="711"/>
    </row>
    <row r="902" spans="2:6">
      <c r="B902" s="679"/>
      <c r="C902" s="679"/>
      <c r="D902" s="679"/>
      <c r="E902" s="679"/>
      <c r="F902" s="711"/>
    </row>
    <row r="903" spans="2:6">
      <c r="B903" s="679"/>
      <c r="C903" s="679"/>
      <c r="D903" s="679"/>
      <c r="E903" s="679"/>
      <c r="F903" s="711"/>
    </row>
    <row r="904" spans="2:6">
      <c r="B904" s="679"/>
      <c r="C904" s="679"/>
      <c r="D904" s="679"/>
      <c r="E904" s="679"/>
      <c r="F904" s="711"/>
    </row>
    <row r="905" spans="2:6">
      <c r="B905" s="679"/>
      <c r="C905" s="679"/>
      <c r="D905" s="679"/>
      <c r="E905" s="679"/>
      <c r="F905" s="711"/>
    </row>
    <row r="906" spans="2:6">
      <c r="B906" s="679"/>
      <c r="C906" s="679"/>
      <c r="D906" s="679"/>
      <c r="E906" s="679"/>
      <c r="F906" s="711"/>
    </row>
    <row r="907" spans="2:6">
      <c r="B907" s="679"/>
      <c r="C907" s="679"/>
      <c r="D907" s="679"/>
      <c r="E907" s="679"/>
      <c r="F907" s="711"/>
    </row>
    <row r="908" spans="2:6">
      <c r="B908" s="679"/>
      <c r="C908" s="679"/>
      <c r="D908" s="679"/>
      <c r="E908" s="679"/>
      <c r="F908" s="711"/>
    </row>
    <row r="909" spans="2:6">
      <c r="B909" s="679"/>
      <c r="C909" s="679"/>
      <c r="D909" s="679"/>
      <c r="E909" s="679"/>
      <c r="F909" s="711"/>
    </row>
    <row r="910" spans="2:6">
      <c r="B910" s="679"/>
      <c r="C910" s="679"/>
      <c r="D910" s="679"/>
      <c r="E910" s="679"/>
      <c r="F910" s="711"/>
    </row>
    <row r="911" spans="2:6">
      <c r="B911" s="679"/>
      <c r="C911" s="679"/>
      <c r="D911" s="679"/>
      <c r="E911" s="679"/>
      <c r="F911" s="711"/>
    </row>
    <row r="912" spans="2:6">
      <c r="B912" s="679"/>
      <c r="C912" s="679"/>
      <c r="D912" s="679"/>
      <c r="E912" s="679"/>
      <c r="F912" s="711"/>
    </row>
    <row r="913" spans="2:6">
      <c r="B913" s="679"/>
      <c r="C913" s="679"/>
      <c r="D913" s="679"/>
      <c r="E913" s="679"/>
      <c r="F913" s="711"/>
    </row>
    <row r="914" spans="2:6">
      <c r="B914" s="679"/>
      <c r="C914" s="679"/>
      <c r="D914" s="679"/>
      <c r="E914" s="679"/>
      <c r="F914" s="711"/>
    </row>
    <row r="915" spans="2:6">
      <c r="B915" s="679"/>
      <c r="C915" s="679"/>
      <c r="D915" s="679"/>
      <c r="E915" s="679"/>
      <c r="F915" s="711"/>
    </row>
    <row r="916" spans="2:6">
      <c r="B916" s="679"/>
      <c r="C916" s="679"/>
      <c r="D916" s="679"/>
      <c r="E916" s="679"/>
      <c r="F916" s="711"/>
    </row>
    <row r="917" spans="2:6">
      <c r="B917" s="679"/>
      <c r="C917" s="679"/>
      <c r="D917" s="679"/>
      <c r="E917" s="679"/>
      <c r="F917" s="711"/>
    </row>
    <row r="918" spans="2:6">
      <c r="B918" s="679"/>
      <c r="C918" s="679"/>
      <c r="D918" s="679"/>
      <c r="E918" s="679"/>
      <c r="F918" s="711"/>
    </row>
    <row r="919" spans="2:6">
      <c r="B919" s="679"/>
      <c r="C919" s="679"/>
      <c r="D919" s="679"/>
      <c r="E919" s="679"/>
      <c r="F919" s="711"/>
    </row>
    <row r="920" spans="2:6">
      <c r="B920" s="679"/>
      <c r="C920" s="679"/>
      <c r="D920" s="679"/>
      <c r="E920" s="679"/>
      <c r="F920" s="711"/>
    </row>
    <row r="921" spans="2:6">
      <c r="B921" s="679"/>
      <c r="C921" s="679"/>
      <c r="D921" s="679"/>
      <c r="E921" s="679"/>
      <c r="F921" s="711"/>
    </row>
    <row r="922" spans="2:6">
      <c r="B922" s="679"/>
      <c r="C922" s="679"/>
      <c r="D922" s="679"/>
      <c r="E922" s="679"/>
      <c r="F922" s="711"/>
    </row>
    <row r="923" spans="2:6">
      <c r="B923" s="679"/>
      <c r="C923" s="679"/>
      <c r="D923" s="679"/>
      <c r="E923" s="679"/>
      <c r="F923" s="711"/>
    </row>
    <row r="924" spans="2:6">
      <c r="B924" s="679"/>
      <c r="C924" s="679"/>
      <c r="D924" s="679"/>
      <c r="E924" s="679"/>
      <c r="F924" s="711"/>
    </row>
    <row r="925" spans="2:6">
      <c r="B925" s="679"/>
      <c r="C925" s="679"/>
      <c r="D925" s="679"/>
      <c r="E925" s="679"/>
      <c r="F925" s="711"/>
    </row>
    <row r="926" spans="2:6">
      <c r="B926" s="679"/>
      <c r="C926" s="679"/>
      <c r="D926" s="679"/>
      <c r="E926" s="679"/>
      <c r="F926" s="711"/>
    </row>
    <row r="927" spans="2:6">
      <c r="B927" s="679"/>
      <c r="C927" s="679"/>
      <c r="D927" s="679"/>
      <c r="E927" s="679"/>
      <c r="F927" s="711"/>
    </row>
    <row r="928" spans="2:6">
      <c r="B928" s="679"/>
      <c r="C928" s="679"/>
      <c r="D928" s="679"/>
      <c r="E928" s="679"/>
      <c r="F928" s="711"/>
    </row>
    <row r="929" spans="2:6">
      <c r="B929" s="679"/>
      <c r="C929" s="679"/>
      <c r="D929" s="679"/>
      <c r="E929" s="679"/>
      <c r="F929" s="711"/>
    </row>
    <row r="930" spans="2:6">
      <c r="B930" s="679"/>
      <c r="C930" s="679"/>
      <c r="D930" s="679"/>
      <c r="E930" s="679"/>
      <c r="F930" s="711"/>
    </row>
    <row r="931" spans="2:6">
      <c r="B931" s="679"/>
      <c r="C931" s="679"/>
      <c r="D931" s="679"/>
      <c r="E931" s="679"/>
      <c r="F931" s="711"/>
    </row>
    <row r="932" spans="2:6">
      <c r="B932" s="679"/>
      <c r="C932" s="679"/>
      <c r="D932" s="679"/>
      <c r="E932" s="679"/>
      <c r="F932" s="711"/>
    </row>
    <row r="933" spans="2:6">
      <c r="B933" s="679"/>
      <c r="C933" s="679"/>
      <c r="D933" s="679"/>
      <c r="E933" s="679"/>
      <c r="F933" s="711"/>
    </row>
    <row r="934" spans="2:6">
      <c r="B934" s="679"/>
      <c r="C934" s="679"/>
      <c r="D934" s="679"/>
      <c r="E934" s="679"/>
      <c r="F934" s="711"/>
    </row>
    <row r="935" spans="2:6">
      <c r="B935" s="679"/>
      <c r="C935" s="679"/>
      <c r="D935" s="679"/>
      <c r="E935" s="679"/>
      <c r="F935" s="711"/>
    </row>
    <row r="936" spans="2:6">
      <c r="B936" s="679"/>
      <c r="C936" s="679"/>
      <c r="D936" s="679"/>
      <c r="E936" s="679"/>
      <c r="F936" s="711"/>
    </row>
    <row r="937" spans="2:6">
      <c r="B937" s="679"/>
      <c r="C937" s="679"/>
      <c r="D937" s="679"/>
      <c r="E937" s="679"/>
      <c r="F937" s="711"/>
    </row>
    <row r="938" spans="2:6">
      <c r="B938" s="679"/>
      <c r="C938" s="679"/>
      <c r="D938" s="679"/>
      <c r="E938" s="679"/>
      <c r="F938" s="711"/>
    </row>
    <row r="939" spans="2:6">
      <c r="B939" s="679"/>
      <c r="C939" s="679"/>
      <c r="D939" s="679"/>
      <c r="E939" s="679"/>
      <c r="F939" s="711"/>
    </row>
    <row r="940" spans="2:6">
      <c r="B940" s="679"/>
      <c r="C940" s="679"/>
      <c r="D940" s="679"/>
      <c r="E940" s="679"/>
      <c r="F940" s="711"/>
    </row>
    <row r="941" spans="2:6">
      <c r="B941" s="679"/>
      <c r="C941" s="679"/>
      <c r="D941" s="679"/>
      <c r="E941" s="679"/>
      <c r="F941" s="711"/>
    </row>
    <row r="942" spans="2:6">
      <c r="B942" s="679"/>
      <c r="C942" s="679"/>
      <c r="D942" s="679"/>
      <c r="E942" s="679"/>
      <c r="F942" s="711"/>
    </row>
    <row r="943" spans="2:6">
      <c r="B943" s="679"/>
      <c r="C943" s="679"/>
      <c r="D943" s="679"/>
      <c r="E943" s="679"/>
      <c r="F943" s="711"/>
    </row>
    <row r="944" spans="2:6">
      <c r="B944" s="679"/>
      <c r="C944" s="679"/>
      <c r="D944" s="679"/>
      <c r="E944" s="679"/>
      <c r="F944" s="711"/>
    </row>
    <row r="945" spans="2:6">
      <c r="B945" s="679"/>
      <c r="C945" s="679"/>
      <c r="D945" s="679"/>
      <c r="E945" s="679"/>
      <c r="F945" s="711"/>
    </row>
    <row r="946" spans="2:6">
      <c r="B946" s="679"/>
      <c r="C946" s="679"/>
      <c r="D946" s="679"/>
      <c r="E946" s="679"/>
      <c r="F946" s="711"/>
    </row>
    <row r="947" spans="2:6">
      <c r="B947" s="679"/>
      <c r="C947" s="679"/>
      <c r="D947" s="679"/>
      <c r="E947" s="679"/>
      <c r="F947" s="711"/>
    </row>
    <row r="948" spans="2:6">
      <c r="B948" s="679"/>
      <c r="C948" s="679"/>
      <c r="D948" s="679"/>
      <c r="E948" s="679"/>
      <c r="F948" s="711"/>
    </row>
    <row r="949" spans="2:6">
      <c r="B949" s="679"/>
      <c r="C949" s="679"/>
      <c r="D949" s="679"/>
      <c r="E949" s="679"/>
      <c r="F949" s="711"/>
    </row>
    <row r="950" spans="2:6">
      <c r="B950" s="679"/>
      <c r="C950" s="679"/>
      <c r="D950" s="679"/>
      <c r="E950" s="679"/>
      <c r="F950" s="711"/>
    </row>
    <row r="951" spans="2:6">
      <c r="B951" s="679"/>
      <c r="C951" s="679"/>
      <c r="D951" s="679"/>
      <c r="E951" s="679"/>
      <c r="F951" s="711"/>
    </row>
    <row r="952" spans="2:6">
      <c r="B952" s="679"/>
      <c r="C952" s="679"/>
      <c r="D952" s="679"/>
      <c r="E952" s="679"/>
      <c r="F952" s="711"/>
    </row>
    <row r="953" spans="2:6">
      <c r="B953" s="679"/>
      <c r="C953" s="679"/>
      <c r="D953" s="679"/>
      <c r="E953" s="679"/>
      <c r="F953" s="711"/>
    </row>
    <row r="954" spans="2:6">
      <c r="B954" s="679"/>
      <c r="C954" s="679"/>
      <c r="D954" s="679"/>
      <c r="E954" s="679"/>
      <c r="F954" s="711"/>
    </row>
    <row r="955" spans="2:6">
      <c r="B955" s="679"/>
      <c r="C955" s="679"/>
      <c r="D955" s="679"/>
      <c r="E955" s="679"/>
      <c r="F955" s="711"/>
    </row>
    <row r="956" spans="2:6">
      <c r="B956" s="679"/>
      <c r="C956" s="679"/>
      <c r="D956" s="679"/>
      <c r="E956" s="679"/>
      <c r="F956" s="711"/>
    </row>
    <row r="957" spans="2:6">
      <c r="B957" s="679"/>
      <c r="C957" s="679"/>
      <c r="D957" s="679"/>
      <c r="E957" s="679"/>
      <c r="F957" s="711"/>
    </row>
    <row r="958" spans="2:6">
      <c r="B958" s="679"/>
      <c r="C958" s="679"/>
      <c r="D958" s="679"/>
      <c r="E958" s="679"/>
      <c r="F958" s="711"/>
    </row>
    <row r="959" spans="2:6">
      <c r="B959" s="679"/>
      <c r="C959" s="679"/>
      <c r="D959" s="679"/>
      <c r="E959" s="679"/>
      <c r="F959" s="711"/>
    </row>
    <row r="960" spans="2:6">
      <c r="B960" s="679"/>
      <c r="C960" s="679"/>
      <c r="D960" s="679"/>
      <c r="E960" s="679"/>
      <c r="F960" s="711"/>
    </row>
    <row r="961" spans="2:6">
      <c r="B961" s="679"/>
      <c r="C961" s="679"/>
      <c r="D961" s="679"/>
      <c r="E961" s="679"/>
      <c r="F961" s="711"/>
    </row>
    <row r="962" spans="2:6">
      <c r="B962" s="679"/>
      <c r="C962" s="679"/>
      <c r="D962" s="679"/>
      <c r="E962" s="679"/>
      <c r="F962" s="711"/>
    </row>
    <row r="963" spans="2:6">
      <c r="B963" s="679"/>
      <c r="C963" s="679"/>
      <c r="D963" s="679"/>
      <c r="E963" s="679"/>
      <c r="F963" s="711"/>
    </row>
    <row r="964" spans="2:6">
      <c r="B964" s="679"/>
      <c r="C964" s="679"/>
      <c r="D964" s="679"/>
      <c r="E964" s="679"/>
      <c r="F964" s="711"/>
    </row>
    <row r="965" spans="2:6">
      <c r="B965" s="679"/>
      <c r="C965" s="679"/>
      <c r="D965" s="679"/>
      <c r="E965" s="679"/>
      <c r="F965" s="711"/>
    </row>
    <row r="966" spans="2:6">
      <c r="B966" s="679"/>
      <c r="C966" s="679"/>
      <c r="D966" s="679"/>
      <c r="E966" s="679"/>
      <c r="F966" s="711"/>
    </row>
    <row r="967" spans="2:6">
      <c r="B967" s="679"/>
      <c r="C967" s="679"/>
      <c r="D967" s="679"/>
      <c r="E967" s="679"/>
      <c r="F967" s="711"/>
    </row>
    <row r="968" spans="2:6">
      <c r="B968" s="679"/>
      <c r="C968" s="679"/>
      <c r="D968" s="679"/>
      <c r="E968" s="679"/>
      <c r="F968" s="711"/>
    </row>
    <row r="969" spans="2:6">
      <c r="B969" s="679"/>
      <c r="C969" s="679"/>
      <c r="D969" s="679"/>
      <c r="E969" s="679"/>
      <c r="F969" s="711"/>
    </row>
    <row r="970" spans="2:6">
      <c r="B970" s="679"/>
      <c r="C970" s="679"/>
      <c r="D970" s="679"/>
      <c r="E970" s="679"/>
      <c r="F970" s="711"/>
    </row>
    <row r="971" spans="2:6">
      <c r="B971" s="679"/>
      <c r="C971" s="679"/>
      <c r="D971" s="679"/>
      <c r="E971" s="679"/>
      <c r="F971" s="711"/>
    </row>
    <row r="972" spans="2:6">
      <c r="B972" s="679"/>
      <c r="C972" s="679"/>
      <c r="D972" s="679"/>
      <c r="E972" s="679"/>
      <c r="F972" s="711"/>
    </row>
    <row r="973" spans="2:6">
      <c r="B973" s="679"/>
      <c r="C973" s="679"/>
      <c r="D973" s="679"/>
      <c r="E973" s="679"/>
      <c r="F973" s="711"/>
    </row>
    <row r="974" spans="2:6">
      <c r="B974" s="679"/>
      <c r="C974" s="679"/>
      <c r="D974" s="679"/>
      <c r="E974" s="679"/>
      <c r="F974" s="711"/>
    </row>
    <row r="975" spans="2:6">
      <c r="B975" s="679"/>
      <c r="C975" s="679"/>
      <c r="D975" s="679"/>
      <c r="E975" s="679"/>
      <c r="F975" s="711"/>
    </row>
    <row r="976" spans="2:6">
      <c r="B976" s="679"/>
      <c r="C976" s="679"/>
      <c r="D976" s="679"/>
      <c r="E976" s="679"/>
      <c r="F976" s="711"/>
    </row>
    <row r="977" spans="2:6">
      <c r="B977" s="679"/>
      <c r="C977" s="679"/>
      <c r="D977" s="679"/>
      <c r="E977" s="679"/>
      <c r="F977" s="711"/>
    </row>
    <row r="978" spans="2:6">
      <c r="B978" s="679"/>
      <c r="C978" s="679"/>
      <c r="D978" s="679"/>
      <c r="E978" s="679"/>
      <c r="F978" s="711"/>
    </row>
    <row r="979" spans="2:6">
      <c r="B979" s="679"/>
      <c r="C979" s="679"/>
      <c r="D979" s="679"/>
      <c r="E979" s="679"/>
      <c r="F979" s="711"/>
    </row>
    <row r="980" spans="2:6">
      <c r="B980" s="679"/>
      <c r="C980" s="679"/>
      <c r="D980" s="679"/>
      <c r="E980" s="679"/>
      <c r="F980" s="711"/>
    </row>
    <row r="981" spans="2:6">
      <c r="B981" s="679"/>
      <c r="C981" s="679"/>
      <c r="D981" s="679"/>
      <c r="E981" s="679"/>
      <c r="F981" s="711"/>
    </row>
    <row r="982" spans="2:6">
      <c r="B982" s="679"/>
      <c r="C982" s="679"/>
      <c r="D982" s="679"/>
      <c r="E982" s="679"/>
      <c r="F982" s="711"/>
    </row>
    <row r="983" spans="2:6">
      <c r="B983" s="679"/>
      <c r="C983" s="679"/>
      <c r="D983" s="679"/>
      <c r="E983" s="679"/>
      <c r="F983" s="711"/>
    </row>
    <row r="984" spans="2:6">
      <c r="B984" s="679"/>
      <c r="C984" s="679"/>
      <c r="D984" s="679"/>
      <c r="E984" s="679"/>
      <c r="F984" s="711"/>
    </row>
    <row r="985" spans="2:6">
      <c r="B985" s="679"/>
      <c r="C985" s="679"/>
      <c r="D985" s="679"/>
      <c r="E985" s="679"/>
      <c r="F985" s="711"/>
    </row>
    <row r="986" spans="2:6">
      <c r="B986" s="679"/>
      <c r="C986" s="679"/>
      <c r="D986" s="679"/>
      <c r="E986" s="679"/>
      <c r="F986" s="711"/>
    </row>
    <row r="987" spans="2:6">
      <c r="B987" s="679"/>
      <c r="C987" s="679"/>
      <c r="D987" s="679"/>
      <c r="E987" s="679"/>
      <c r="F987" s="711"/>
    </row>
    <row r="988" spans="2:6">
      <c r="B988" s="679"/>
      <c r="C988" s="679"/>
      <c r="D988" s="679"/>
      <c r="E988" s="679"/>
      <c r="F988" s="711"/>
    </row>
    <row r="989" spans="2:6">
      <c r="B989" s="679"/>
      <c r="C989" s="679"/>
      <c r="D989" s="679"/>
      <c r="E989" s="679"/>
      <c r="F989" s="711"/>
    </row>
    <row r="990" spans="2:6">
      <c r="B990" s="679"/>
      <c r="C990" s="679"/>
      <c r="D990" s="679"/>
      <c r="E990" s="679"/>
      <c r="F990" s="711"/>
    </row>
    <row r="991" spans="2:6">
      <c r="B991" s="679"/>
      <c r="C991" s="679"/>
      <c r="D991" s="679"/>
      <c r="E991" s="679"/>
      <c r="F991" s="711"/>
    </row>
    <row r="992" spans="2:6">
      <c r="B992" s="679"/>
      <c r="C992" s="679"/>
      <c r="D992" s="679"/>
      <c r="E992" s="679"/>
      <c r="F992" s="711"/>
    </row>
    <row r="993" spans="2:6">
      <c r="B993" s="679"/>
      <c r="C993" s="679"/>
      <c r="D993" s="679"/>
      <c r="E993" s="679"/>
      <c r="F993" s="711"/>
    </row>
    <row r="994" spans="2:6">
      <c r="B994" s="679"/>
      <c r="C994" s="679"/>
      <c r="D994" s="679"/>
      <c r="E994" s="679"/>
      <c r="F994" s="711"/>
    </row>
    <row r="995" spans="2:6">
      <c r="B995" s="679"/>
      <c r="C995" s="679"/>
      <c r="D995" s="679"/>
      <c r="E995" s="679"/>
      <c r="F995" s="711"/>
    </row>
    <row r="996" spans="2:6">
      <c r="B996" s="679"/>
      <c r="C996" s="679"/>
      <c r="D996" s="679"/>
      <c r="E996" s="679"/>
      <c r="F996" s="711"/>
    </row>
    <row r="997" spans="2:6">
      <c r="B997" s="679"/>
      <c r="C997" s="679"/>
      <c r="D997" s="679"/>
      <c r="E997" s="679"/>
      <c r="F997" s="711"/>
    </row>
    <row r="998" spans="2:6">
      <c r="B998" s="679"/>
      <c r="C998" s="679"/>
      <c r="D998" s="679"/>
      <c r="E998" s="679"/>
      <c r="F998" s="711"/>
    </row>
    <row r="999" spans="2:6">
      <c r="B999" s="679"/>
      <c r="C999" s="679"/>
      <c r="D999" s="679"/>
      <c r="E999" s="679"/>
      <c r="F999" s="711"/>
    </row>
    <row r="1000" spans="2:6">
      <c r="B1000" s="679"/>
      <c r="C1000" s="679"/>
      <c r="D1000" s="679"/>
      <c r="E1000" s="679"/>
      <c r="F1000" s="71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712" t="s">
        <v>592</v>
      </c>
      <c r="B1" s="712" t="s">
        <v>2</v>
      </c>
      <c r="C1" s="712" t="s">
        <v>3</v>
      </c>
      <c r="D1" s="712" t="s">
        <v>4</v>
      </c>
      <c r="E1" s="349" t="s">
        <v>6</v>
      </c>
      <c r="F1" s="349" t="s">
        <v>7</v>
      </c>
      <c r="G1" s="350" t="s">
        <v>593</v>
      </c>
      <c r="H1" s="349" t="s">
        <v>9</v>
      </c>
      <c r="I1" s="353" t="s">
        <v>594</v>
      </c>
      <c r="J1" s="351" t="s">
        <v>12</v>
      </c>
      <c r="K1" s="352" t="s">
        <v>13</v>
      </c>
      <c r="L1" s="353" t="s">
        <v>595</v>
      </c>
      <c r="M1" s="260"/>
      <c r="N1" s="260"/>
      <c r="O1" s="260"/>
      <c r="P1" s="260"/>
      <c r="Q1" s="260"/>
      <c r="R1" s="260"/>
      <c r="S1" s="260"/>
      <c r="T1" s="260"/>
      <c r="U1" s="260"/>
      <c r="V1" s="260"/>
      <c r="W1" s="260"/>
      <c r="X1" s="260"/>
      <c r="Y1" s="260"/>
      <c r="Z1" s="260"/>
    </row>
    <row r="2" spans="1:26" ht="38.25">
      <c r="A2" s="389" t="s">
        <v>603</v>
      </c>
      <c r="B2" s="369" t="s">
        <v>1577</v>
      </c>
      <c r="C2" s="356"/>
      <c r="D2" s="356" t="s">
        <v>37</v>
      </c>
      <c r="E2" s="358">
        <v>45567</v>
      </c>
      <c r="F2" s="358">
        <v>45567</v>
      </c>
      <c r="G2" s="358">
        <v>45568</v>
      </c>
      <c r="H2" s="358">
        <v>45569</v>
      </c>
      <c r="I2" s="360">
        <f ca="1">IF(ISBLANK(H2), NETWORKDAYS(F2, TODAY(),fESTIVOS!$A$1:$A$18), NETWORKDAYS(F2, H2, fESTIVOS!$A$1:$A$18))</f>
        <v>3</v>
      </c>
      <c r="J2" s="358">
        <v>45572</v>
      </c>
      <c r="K2" s="357"/>
      <c r="L2" s="361" t="s">
        <v>1578</v>
      </c>
      <c r="M2" s="260"/>
      <c r="N2" s="260"/>
      <c r="O2" s="260"/>
      <c r="P2" s="260"/>
      <c r="Q2" s="260"/>
      <c r="R2" s="260"/>
      <c r="S2" s="260"/>
      <c r="T2" s="260"/>
      <c r="U2" s="260"/>
      <c r="V2" s="260"/>
      <c r="W2" s="260"/>
      <c r="X2" s="260"/>
      <c r="Y2" s="260"/>
      <c r="Z2" s="260"/>
    </row>
    <row r="3" spans="1:26" ht="51">
      <c r="A3" s="389" t="s">
        <v>718</v>
      </c>
      <c r="B3" s="718" t="s">
        <v>926</v>
      </c>
      <c r="C3" s="365" t="s">
        <v>927</v>
      </c>
      <c r="D3" s="356" t="s">
        <v>40</v>
      </c>
      <c r="E3" s="358">
        <v>45575</v>
      </c>
      <c r="F3" s="358"/>
      <c r="G3" s="358"/>
      <c r="H3" s="357">
        <v>0</v>
      </c>
      <c r="I3" s="360">
        <f ca="1">IF(ISBLANK(H3), NETWORKDAYS(F3, TODAY(),fESTIVOS!$A$1:$A$18), NETWORKDAYS(F3, H3, fESTIVOS!$A$1:$A$18))</f>
        <v>0</v>
      </c>
      <c r="J3" s="358">
        <v>45569</v>
      </c>
      <c r="K3" s="358"/>
      <c r="L3" s="361" t="s">
        <v>1579</v>
      </c>
      <c r="M3" s="713"/>
      <c r="N3" s="260"/>
      <c r="O3" s="260"/>
      <c r="P3" s="260"/>
      <c r="Q3" s="260"/>
      <c r="R3" s="260"/>
      <c r="S3" s="260"/>
      <c r="T3" s="260"/>
      <c r="U3" s="260"/>
      <c r="V3" s="260"/>
      <c r="W3" s="260"/>
      <c r="X3" s="260"/>
      <c r="Y3" s="260"/>
      <c r="Z3" s="260"/>
    </row>
    <row r="4" spans="1:26" ht="51">
      <c r="A4" s="389" t="s">
        <v>718</v>
      </c>
      <c r="B4" s="717"/>
      <c r="C4" s="393" t="s">
        <v>1580</v>
      </c>
      <c r="D4" s="356" t="s">
        <v>40</v>
      </c>
      <c r="E4" s="358">
        <v>45575</v>
      </c>
      <c r="F4" s="382"/>
      <c r="G4" s="382"/>
      <c r="H4" s="384">
        <v>0</v>
      </c>
      <c r="I4" s="383">
        <f ca="1">IF(ISBLANK(H4), NETWORKDAYS(F4, TODAY(),fESTIVOS!$A$1:$A$18), NETWORKDAYS(F4, H4, fESTIVOS!$A$1:$A$18))</f>
        <v>0</v>
      </c>
      <c r="J4" s="382">
        <v>45569</v>
      </c>
      <c r="K4" s="382"/>
      <c r="L4" s="385" t="s">
        <v>930</v>
      </c>
      <c r="M4" s="713"/>
      <c r="N4" s="260"/>
      <c r="O4" s="260"/>
      <c r="P4" s="260"/>
      <c r="Q4" s="260"/>
      <c r="R4" s="260"/>
      <c r="S4" s="260"/>
      <c r="T4" s="260"/>
      <c r="U4" s="260"/>
      <c r="V4" s="260"/>
      <c r="W4" s="260"/>
      <c r="X4" s="260"/>
      <c r="Y4" s="260"/>
      <c r="Z4" s="260"/>
    </row>
    <row r="5" spans="1:26" ht="51">
      <c r="A5" s="389" t="s">
        <v>718</v>
      </c>
      <c r="B5" s="353" t="s">
        <v>857</v>
      </c>
      <c r="C5" s="356" t="s">
        <v>931</v>
      </c>
      <c r="D5" s="356" t="s">
        <v>40</v>
      </c>
      <c r="E5" s="358">
        <v>45575</v>
      </c>
      <c r="F5" s="358"/>
      <c r="G5" s="358"/>
      <c r="H5" s="357">
        <v>0</v>
      </c>
      <c r="I5" s="360">
        <f ca="1">IF(ISBLANK(H5), NETWORKDAYS(F5, TODAY(),fESTIVOS!$A$1:$A$18), NETWORKDAYS(F5, H5, fESTIVOS!$A$1:$A$18))</f>
        <v>0</v>
      </c>
      <c r="J5" s="358">
        <v>45569</v>
      </c>
      <c r="K5" s="358"/>
      <c r="L5" s="361" t="s">
        <v>930</v>
      </c>
      <c r="M5" s="713"/>
      <c r="N5" s="260"/>
      <c r="O5" s="260"/>
      <c r="P5" s="260"/>
      <c r="Q5" s="260"/>
      <c r="R5" s="260"/>
      <c r="S5" s="260"/>
      <c r="T5" s="260"/>
      <c r="U5" s="260"/>
      <c r="V5" s="260"/>
      <c r="W5" s="260"/>
      <c r="X5" s="260"/>
      <c r="Y5" s="260"/>
      <c r="Z5" s="260"/>
    </row>
    <row r="6" spans="1:26">
      <c r="A6" s="270"/>
      <c r="B6" s="270"/>
      <c r="C6" s="270"/>
      <c r="D6" s="270"/>
      <c r="E6" s="270"/>
      <c r="F6" s="270"/>
      <c r="G6" s="270"/>
      <c r="H6" s="270"/>
      <c r="I6" s="270"/>
      <c r="J6" s="270"/>
      <c r="K6" s="270"/>
      <c r="L6" s="270"/>
      <c r="M6" s="270"/>
      <c r="N6" s="270"/>
      <c r="O6" s="270"/>
      <c r="P6" s="270"/>
      <c r="Q6" s="270"/>
      <c r="R6" s="270"/>
      <c r="S6" s="270"/>
      <c r="T6" s="270"/>
      <c r="U6" s="270"/>
      <c r="V6" s="270"/>
      <c r="W6" s="270"/>
      <c r="X6" s="270"/>
      <c r="Y6" s="270"/>
      <c r="Z6" s="270"/>
    </row>
    <row r="7" spans="1:26">
      <c r="A7" s="270"/>
      <c r="B7" s="270"/>
      <c r="C7" s="270"/>
      <c r="D7" s="270"/>
      <c r="E7" s="270"/>
      <c r="F7" s="270"/>
      <c r="G7" s="270"/>
      <c r="H7" s="270"/>
      <c r="I7" s="270"/>
      <c r="J7" s="270"/>
      <c r="K7" s="270"/>
      <c r="L7" s="270"/>
      <c r="M7" s="270"/>
      <c r="N7" s="270"/>
      <c r="O7" s="270"/>
      <c r="P7" s="270"/>
      <c r="Q7" s="270"/>
      <c r="R7" s="270"/>
      <c r="S7" s="270"/>
      <c r="T7" s="270"/>
      <c r="U7" s="270"/>
      <c r="V7" s="270"/>
      <c r="W7" s="270"/>
      <c r="X7" s="270"/>
      <c r="Y7" s="270"/>
      <c r="Z7" s="270"/>
    </row>
    <row r="8" spans="1:26">
      <c r="A8" s="270"/>
      <c r="B8" s="270"/>
      <c r="C8" s="270"/>
      <c r="D8" s="270"/>
      <c r="E8" s="270"/>
      <c r="F8" s="270"/>
      <c r="G8" s="270"/>
      <c r="H8" s="270"/>
      <c r="I8" s="270"/>
      <c r="J8" s="270"/>
      <c r="K8" s="270"/>
      <c r="L8" s="270"/>
      <c r="M8" s="270"/>
      <c r="N8" s="270"/>
      <c r="O8" s="270"/>
      <c r="P8" s="270"/>
      <c r="Q8" s="270"/>
      <c r="R8" s="270"/>
      <c r="S8" s="270"/>
      <c r="T8" s="270"/>
      <c r="U8" s="270"/>
      <c r="V8" s="270"/>
      <c r="W8" s="270"/>
      <c r="X8" s="270"/>
      <c r="Y8" s="270"/>
      <c r="Z8" s="270"/>
    </row>
    <row r="9" spans="1:26">
      <c r="A9" s="270"/>
      <c r="B9" s="270"/>
      <c r="C9" s="270"/>
      <c r="D9" s="270"/>
      <c r="E9" s="270"/>
      <c r="F9" s="270"/>
      <c r="G9" s="270"/>
      <c r="H9" s="270"/>
      <c r="I9" s="270"/>
      <c r="J9" s="270"/>
      <c r="K9" s="270"/>
      <c r="L9" s="270"/>
      <c r="M9" s="270"/>
      <c r="N9" s="270"/>
      <c r="O9" s="270"/>
      <c r="P9" s="270"/>
      <c r="Q9" s="270"/>
      <c r="R9" s="270"/>
      <c r="S9" s="270"/>
      <c r="T9" s="270"/>
      <c r="U9" s="270"/>
      <c r="V9" s="270"/>
      <c r="W9" s="270"/>
      <c r="X9" s="270"/>
      <c r="Y9" s="270"/>
      <c r="Z9" s="270"/>
    </row>
    <row r="10" spans="1:26">
      <c r="A10" s="270"/>
      <c r="B10" s="270"/>
      <c r="C10" s="270"/>
      <c r="D10" s="270"/>
      <c r="E10" s="270"/>
      <c r="F10" s="270"/>
      <c r="G10" s="270"/>
      <c r="H10" s="270"/>
      <c r="I10" s="270"/>
      <c r="J10" s="270"/>
      <c r="K10" s="270"/>
      <c r="L10" s="270"/>
      <c r="M10" s="270"/>
      <c r="N10" s="270"/>
      <c r="O10" s="270"/>
      <c r="P10" s="270"/>
      <c r="Q10" s="270"/>
      <c r="R10" s="270"/>
      <c r="S10" s="270"/>
      <c r="T10" s="270"/>
      <c r="U10" s="270"/>
      <c r="V10" s="270"/>
      <c r="W10" s="270"/>
      <c r="X10" s="270"/>
      <c r="Y10" s="270"/>
      <c r="Z10" s="270"/>
    </row>
    <row r="11" spans="1:26">
      <c r="A11" s="270"/>
      <c r="B11" s="270"/>
      <c r="C11" s="270"/>
      <c r="D11" s="270"/>
      <c r="E11" s="270"/>
      <c r="F11" s="270"/>
      <c r="G11" s="270"/>
      <c r="H11" s="270"/>
      <c r="I11" s="270"/>
      <c r="J11" s="270"/>
      <c r="K11" s="270"/>
      <c r="L11" s="270"/>
      <c r="M11" s="270"/>
      <c r="N11" s="270"/>
      <c r="O11" s="270"/>
      <c r="P11" s="270"/>
      <c r="Q11" s="270"/>
      <c r="R11" s="270"/>
      <c r="S11" s="270"/>
      <c r="T11" s="270"/>
      <c r="U11" s="270"/>
      <c r="V11" s="270"/>
      <c r="W11" s="270"/>
      <c r="X11" s="270"/>
      <c r="Y11" s="270"/>
      <c r="Z11" s="270"/>
    </row>
    <row r="12" spans="1:26">
      <c r="A12" s="270"/>
      <c r="B12" s="270"/>
      <c r="C12" s="270"/>
      <c r="D12" s="270"/>
      <c r="E12" s="270"/>
      <c r="F12" s="270"/>
      <c r="G12" s="270"/>
      <c r="H12" s="270"/>
      <c r="I12" s="270"/>
      <c r="J12" s="270"/>
      <c r="K12" s="270"/>
      <c r="L12" s="270"/>
      <c r="M12" s="270"/>
      <c r="N12" s="270"/>
      <c r="O12" s="270"/>
      <c r="P12" s="270"/>
      <c r="Q12" s="270"/>
      <c r="R12" s="270"/>
      <c r="S12" s="270"/>
      <c r="T12" s="270"/>
      <c r="U12" s="270"/>
      <c r="V12" s="270"/>
      <c r="W12" s="270"/>
      <c r="X12" s="270"/>
      <c r="Y12" s="270"/>
      <c r="Z12" s="270"/>
    </row>
    <row r="13" spans="1:26">
      <c r="A13" s="270"/>
      <c r="B13" s="270"/>
      <c r="C13" s="270"/>
      <c r="D13" s="270"/>
      <c r="E13" s="270"/>
      <c r="F13" s="270"/>
      <c r="G13" s="270"/>
      <c r="H13" s="270"/>
      <c r="I13" s="270"/>
      <c r="J13" s="270"/>
      <c r="K13" s="270"/>
      <c r="L13" s="270"/>
      <c r="M13" s="270"/>
      <c r="N13" s="270"/>
      <c r="O13" s="270"/>
      <c r="P13" s="270"/>
      <c r="Q13" s="270"/>
      <c r="R13" s="270"/>
      <c r="S13" s="270"/>
      <c r="T13" s="270"/>
      <c r="U13" s="270"/>
      <c r="V13" s="270"/>
      <c r="W13" s="270"/>
      <c r="X13" s="270"/>
      <c r="Y13" s="270"/>
      <c r="Z13" s="270"/>
    </row>
    <row r="14" spans="1:26">
      <c r="A14" s="270"/>
      <c r="B14" s="270"/>
      <c r="C14" s="270"/>
      <c r="D14" s="270"/>
      <c r="E14" s="270"/>
      <c r="F14" s="270"/>
      <c r="G14" s="270"/>
      <c r="H14" s="270"/>
      <c r="I14" s="270"/>
      <c r="J14" s="270"/>
      <c r="K14" s="270"/>
      <c r="L14" s="270"/>
      <c r="M14" s="270"/>
      <c r="N14" s="270"/>
      <c r="O14" s="270"/>
      <c r="P14" s="270"/>
      <c r="Q14" s="270"/>
      <c r="R14" s="270"/>
      <c r="S14" s="270"/>
      <c r="T14" s="270"/>
      <c r="U14" s="270"/>
      <c r="V14" s="270"/>
      <c r="W14" s="270"/>
      <c r="X14" s="270"/>
      <c r="Y14" s="270"/>
      <c r="Z14" s="270"/>
    </row>
    <row r="15" spans="1:26">
      <c r="A15" s="270"/>
      <c r="B15" s="270"/>
      <c r="C15" s="270"/>
      <c r="D15" s="270"/>
      <c r="E15" s="270"/>
      <c r="F15" s="270"/>
      <c r="G15" s="270"/>
      <c r="H15" s="270"/>
      <c r="I15" s="270"/>
      <c r="J15" s="270"/>
      <c r="K15" s="270"/>
      <c r="L15" s="270"/>
      <c r="M15" s="270"/>
      <c r="N15" s="270"/>
      <c r="O15" s="270"/>
      <c r="P15" s="270"/>
      <c r="Q15" s="270"/>
      <c r="R15" s="270"/>
      <c r="S15" s="270"/>
      <c r="T15" s="270"/>
      <c r="U15" s="270"/>
      <c r="V15" s="270"/>
      <c r="W15" s="270"/>
      <c r="X15" s="270"/>
      <c r="Y15" s="270"/>
      <c r="Z15" s="270"/>
    </row>
    <row r="16" spans="1:26">
      <c r="A16" s="270"/>
      <c r="B16" s="270"/>
      <c r="C16" s="270"/>
      <c r="D16" s="270"/>
      <c r="E16" s="270"/>
      <c r="F16" s="270"/>
      <c r="G16" s="270"/>
      <c r="H16" s="270"/>
      <c r="I16" s="270"/>
      <c r="J16" s="270"/>
      <c r="K16" s="270"/>
      <c r="L16" s="270"/>
      <c r="M16" s="270"/>
      <c r="N16" s="270"/>
      <c r="O16" s="270"/>
      <c r="P16" s="270"/>
      <c r="Q16" s="270"/>
      <c r="R16" s="270"/>
      <c r="S16" s="270"/>
      <c r="T16" s="270"/>
      <c r="U16" s="270"/>
      <c r="V16" s="270"/>
      <c r="W16" s="270"/>
      <c r="X16" s="270"/>
      <c r="Y16" s="270"/>
      <c r="Z16" s="270"/>
    </row>
    <row r="17" spans="1:26">
      <c r="A17" s="270"/>
      <c r="B17" s="270"/>
      <c r="C17" s="270"/>
      <c r="D17" s="270"/>
      <c r="E17" s="270"/>
      <c r="F17" s="270"/>
      <c r="G17" s="270"/>
      <c r="H17" s="270"/>
      <c r="I17" s="270"/>
      <c r="J17" s="270"/>
      <c r="K17" s="270"/>
      <c r="L17" s="270"/>
      <c r="M17" s="270"/>
      <c r="N17" s="270"/>
      <c r="O17" s="270"/>
      <c r="P17" s="270"/>
      <c r="Q17" s="270"/>
      <c r="R17" s="270"/>
      <c r="S17" s="270"/>
      <c r="T17" s="270"/>
      <c r="U17" s="270"/>
      <c r="V17" s="270"/>
      <c r="W17" s="270"/>
      <c r="X17" s="270"/>
      <c r="Y17" s="270"/>
      <c r="Z17" s="270"/>
    </row>
    <row r="18" spans="1:26">
      <c r="A18" s="270"/>
      <c r="B18" s="270"/>
      <c r="C18" s="270"/>
      <c r="D18" s="270"/>
      <c r="E18" s="270"/>
      <c r="F18" s="270"/>
      <c r="G18" s="270"/>
      <c r="H18" s="270"/>
      <c r="I18" s="270"/>
      <c r="J18" s="270"/>
      <c r="K18" s="270"/>
      <c r="L18" s="270"/>
      <c r="M18" s="270"/>
      <c r="N18" s="270"/>
      <c r="O18" s="270"/>
      <c r="P18" s="270"/>
      <c r="Q18" s="270"/>
      <c r="R18" s="270"/>
      <c r="S18" s="270"/>
      <c r="T18" s="270"/>
      <c r="U18" s="270"/>
      <c r="V18" s="270"/>
      <c r="W18" s="270"/>
      <c r="X18" s="270"/>
      <c r="Y18" s="270"/>
      <c r="Z18" s="270"/>
    </row>
    <row r="19" spans="1:26">
      <c r="A19" s="270"/>
      <c r="B19" s="270"/>
      <c r="C19" s="270"/>
      <c r="D19" s="270"/>
      <c r="E19" s="270"/>
      <c r="F19" s="270"/>
      <c r="G19" s="270"/>
      <c r="H19" s="270"/>
      <c r="I19" s="270"/>
      <c r="J19" s="270"/>
      <c r="K19" s="270"/>
      <c r="L19" s="270"/>
      <c r="M19" s="270"/>
      <c r="N19" s="270"/>
      <c r="O19" s="270"/>
      <c r="P19" s="270"/>
      <c r="Q19" s="270"/>
      <c r="R19" s="270"/>
      <c r="S19" s="270"/>
      <c r="T19" s="270"/>
      <c r="U19" s="270"/>
      <c r="V19" s="270"/>
      <c r="W19" s="270"/>
      <c r="X19" s="270"/>
      <c r="Y19" s="270"/>
      <c r="Z19" s="270"/>
    </row>
    <row r="20" spans="1:26">
      <c r="A20" s="270"/>
      <c r="B20" s="270"/>
      <c r="C20" s="270"/>
      <c r="D20" s="270"/>
      <c r="E20" s="270"/>
      <c r="F20" s="270"/>
      <c r="G20" s="270"/>
      <c r="H20" s="270"/>
      <c r="I20" s="270"/>
      <c r="J20" s="270"/>
      <c r="K20" s="270"/>
      <c r="L20" s="270"/>
      <c r="M20" s="270"/>
      <c r="N20" s="270"/>
      <c r="O20" s="270"/>
      <c r="P20" s="270"/>
      <c r="Q20" s="270"/>
      <c r="R20" s="270"/>
      <c r="S20" s="270"/>
      <c r="T20" s="270"/>
      <c r="U20" s="270"/>
      <c r="V20" s="270"/>
      <c r="W20" s="270"/>
      <c r="X20" s="270"/>
      <c r="Y20" s="270"/>
      <c r="Z20" s="270"/>
    </row>
    <row r="21" spans="1:26" ht="15.75" customHeight="1">
      <c r="A21" s="270"/>
      <c r="B21" s="270"/>
      <c r="C21" s="270"/>
      <c r="D21" s="270"/>
      <c r="E21" s="270"/>
      <c r="F21" s="270"/>
      <c r="G21" s="270"/>
      <c r="H21" s="270"/>
      <c r="I21" s="270"/>
      <c r="J21" s="270"/>
      <c r="K21" s="270"/>
      <c r="L21" s="270"/>
      <c r="M21" s="270"/>
      <c r="N21" s="270"/>
      <c r="O21" s="270"/>
      <c r="P21" s="270"/>
      <c r="Q21" s="270"/>
      <c r="R21" s="270"/>
      <c r="S21" s="270"/>
      <c r="T21" s="270"/>
      <c r="U21" s="270"/>
      <c r="V21" s="270"/>
      <c r="W21" s="270"/>
      <c r="X21" s="270"/>
      <c r="Y21" s="270"/>
      <c r="Z21" s="270"/>
    </row>
    <row r="22" spans="1:26" ht="15.75" customHeight="1">
      <c r="A22" s="270"/>
      <c r="B22" s="270"/>
      <c r="C22" s="270"/>
      <c r="D22" s="270"/>
      <c r="E22" s="270"/>
      <c r="F22" s="270"/>
      <c r="G22" s="270"/>
      <c r="H22" s="270"/>
      <c r="I22" s="270"/>
      <c r="J22" s="270"/>
      <c r="K22" s="270"/>
      <c r="L22" s="270"/>
      <c r="M22" s="270"/>
      <c r="N22" s="270"/>
      <c r="O22" s="270"/>
      <c r="P22" s="270"/>
      <c r="Q22" s="270"/>
      <c r="R22" s="270"/>
      <c r="S22" s="270"/>
      <c r="T22" s="270"/>
      <c r="U22" s="270"/>
      <c r="V22" s="270"/>
      <c r="W22" s="270"/>
      <c r="X22" s="270"/>
      <c r="Y22" s="270"/>
      <c r="Z22" s="270"/>
    </row>
    <row r="23" spans="1:26" ht="15.75" customHeight="1">
      <c r="A23" s="270"/>
      <c r="B23" s="270"/>
      <c r="C23" s="270"/>
      <c r="D23" s="270"/>
      <c r="E23" s="270"/>
      <c r="F23" s="270"/>
      <c r="G23" s="270"/>
      <c r="H23" s="270"/>
      <c r="I23" s="270"/>
      <c r="J23" s="270"/>
      <c r="K23" s="270"/>
      <c r="L23" s="270"/>
      <c r="M23" s="270"/>
      <c r="N23" s="270"/>
      <c r="O23" s="270"/>
      <c r="P23" s="270"/>
      <c r="Q23" s="270"/>
      <c r="R23" s="270"/>
      <c r="S23" s="270"/>
      <c r="T23" s="270"/>
      <c r="U23" s="270"/>
      <c r="V23" s="270"/>
      <c r="W23" s="270"/>
      <c r="X23" s="270"/>
      <c r="Y23" s="270"/>
      <c r="Z23" s="270"/>
    </row>
    <row r="24" spans="1:26" ht="15.75" customHeight="1">
      <c r="A24" s="270"/>
      <c r="B24" s="270"/>
      <c r="C24" s="270"/>
      <c r="D24" s="270"/>
      <c r="E24" s="270"/>
      <c r="F24" s="270"/>
      <c r="G24" s="270"/>
      <c r="H24" s="270"/>
      <c r="I24" s="270"/>
      <c r="J24" s="270"/>
      <c r="K24" s="270"/>
      <c r="L24" s="270"/>
      <c r="M24" s="270"/>
      <c r="N24" s="270"/>
      <c r="O24" s="270"/>
      <c r="P24" s="270"/>
      <c r="Q24" s="270"/>
      <c r="R24" s="270"/>
      <c r="S24" s="270"/>
      <c r="T24" s="270"/>
      <c r="U24" s="270"/>
      <c r="V24" s="270"/>
      <c r="W24" s="270"/>
      <c r="X24" s="270"/>
      <c r="Y24" s="270"/>
      <c r="Z24" s="270"/>
    </row>
    <row r="25" spans="1:26" ht="15.75" customHeight="1">
      <c r="A25" s="270"/>
      <c r="B25" s="270"/>
      <c r="C25" s="270"/>
      <c r="D25" s="270"/>
      <c r="E25" s="270"/>
      <c r="F25" s="270"/>
      <c r="G25" s="270"/>
      <c r="H25" s="270"/>
      <c r="I25" s="270"/>
      <c r="J25" s="270"/>
      <c r="K25" s="270"/>
      <c r="L25" s="270"/>
      <c r="M25" s="270"/>
      <c r="N25" s="270"/>
      <c r="O25" s="270"/>
      <c r="P25" s="270"/>
      <c r="Q25" s="270"/>
      <c r="R25" s="270"/>
      <c r="S25" s="270"/>
      <c r="T25" s="270"/>
      <c r="U25" s="270"/>
      <c r="V25" s="270"/>
      <c r="W25" s="270"/>
      <c r="X25" s="270"/>
      <c r="Y25" s="270"/>
      <c r="Z25" s="270"/>
    </row>
    <row r="26" spans="1:26" ht="15.75" customHeight="1">
      <c r="A26" s="270"/>
      <c r="B26" s="270"/>
      <c r="C26" s="270"/>
      <c r="D26" s="270"/>
      <c r="E26" s="270"/>
      <c r="F26" s="270"/>
      <c r="G26" s="270"/>
      <c r="H26" s="270"/>
      <c r="I26" s="270"/>
      <c r="J26" s="270"/>
      <c r="K26" s="270"/>
      <c r="L26" s="270"/>
      <c r="M26" s="270"/>
      <c r="N26" s="270"/>
      <c r="O26" s="270"/>
      <c r="P26" s="270"/>
      <c r="Q26" s="270"/>
      <c r="R26" s="270"/>
      <c r="S26" s="270"/>
      <c r="T26" s="270"/>
      <c r="U26" s="270"/>
      <c r="V26" s="270"/>
      <c r="W26" s="270"/>
      <c r="X26" s="270"/>
      <c r="Y26" s="270"/>
      <c r="Z26" s="270"/>
    </row>
    <row r="27" spans="1:26" ht="15.75" customHeight="1">
      <c r="A27" s="270"/>
      <c r="B27" s="270"/>
      <c r="C27" s="270"/>
      <c r="D27" s="270"/>
      <c r="E27" s="270"/>
      <c r="F27" s="270"/>
      <c r="G27" s="270"/>
      <c r="H27" s="270"/>
      <c r="I27" s="270"/>
      <c r="J27" s="270"/>
      <c r="K27" s="270"/>
      <c r="L27" s="270"/>
      <c r="M27" s="270"/>
      <c r="N27" s="270"/>
      <c r="O27" s="270"/>
      <c r="P27" s="270"/>
      <c r="Q27" s="270"/>
      <c r="R27" s="270"/>
      <c r="S27" s="270"/>
      <c r="T27" s="270"/>
      <c r="U27" s="270"/>
      <c r="V27" s="270"/>
      <c r="W27" s="270"/>
      <c r="X27" s="270"/>
      <c r="Y27" s="270"/>
      <c r="Z27" s="270"/>
    </row>
    <row r="28" spans="1:26" ht="15.75" customHeight="1">
      <c r="A28" s="270"/>
      <c r="B28" s="270"/>
      <c r="C28" s="270"/>
      <c r="D28" s="270"/>
      <c r="E28" s="270"/>
      <c r="F28" s="270"/>
      <c r="G28" s="270"/>
      <c r="H28" s="270"/>
      <c r="I28" s="270"/>
      <c r="J28" s="270"/>
      <c r="K28" s="270"/>
      <c r="L28" s="270"/>
      <c r="M28" s="270"/>
      <c r="N28" s="270"/>
      <c r="O28" s="270"/>
      <c r="P28" s="270"/>
      <c r="Q28" s="270"/>
      <c r="R28" s="270"/>
      <c r="S28" s="270"/>
      <c r="T28" s="270"/>
      <c r="U28" s="270"/>
      <c r="V28" s="270"/>
      <c r="W28" s="270"/>
      <c r="X28" s="270"/>
      <c r="Y28" s="270"/>
      <c r="Z28" s="270"/>
    </row>
    <row r="29" spans="1:26" ht="15.75" customHeight="1">
      <c r="A29" s="270"/>
      <c r="B29" s="270"/>
      <c r="C29" s="270"/>
      <c r="D29" s="270"/>
      <c r="E29" s="270"/>
      <c r="F29" s="270"/>
      <c r="G29" s="270"/>
      <c r="H29" s="270"/>
      <c r="I29" s="270"/>
      <c r="J29" s="270"/>
      <c r="K29" s="270"/>
      <c r="L29" s="270"/>
      <c r="M29" s="270"/>
      <c r="N29" s="270"/>
      <c r="O29" s="270"/>
      <c r="P29" s="270"/>
      <c r="Q29" s="270"/>
      <c r="R29" s="270"/>
      <c r="S29" s="270"/>
      <c r="T29" s="270"/>
      <c r="U29" s="270"/>
      <c r="V29" s="270"/>
      <c r="W29" s="270"/>
      <c r="X29" s="270"/>
      <c r="Y29" s="270"/>
      <c r="Z29" s="270"/>
    </row>
    <row r="30" spans="1:26" ht="15.75" customHeight="1">
      <c r="A30" s="270"/>
      <c r="B30" s="270"/>
      <c r="C30" s="270"/>
      <c r="D30" s="270"/>
      <c r="E30" s="270"/>
      <c r="F30" s="270"/>
      <c r="G30" s="270"/>
      <c r="H30" s="270"/>
      <c r="I30" s="270"/>
      <c r="J30" s="270"/>
      <c r="K30" s="270"/>
      <c r="L30" s="270"/>
      <c r="M30" s="270"/>
      <c r="N30" s="270"/>
      <c r="O30" s="270"/>
      <c r="P30" s="270"/>
      <c r="Q30" s="270"/>
      <c r="R30" s="270"/>
      <c r="S30" s="270"/>
      <c r="T30" s="270"/>
      <c r="U30" s="270"/>
      <c r="V30" s="270"/>
      <c r="W30" s="270"/>
      <c r="X30" s="270"/>
      <c r="Y30" s="270"/>
      <c r="Z30" s="270"/>
    </row>
    <row r="31" spans="1:26" ht="15.75" customHeight="1">
      <c r="A31" s="270"/>
      <c r="B31" s="270"/>
      <c r="C31" s="270"/>
      <c r="D31" s="270"/>
      <c r="E31" s="270"/>
      <c r="F31" s="270"/>
      <c r="G31" s="270"/>
      <c r="H31" s="270"/>
      <c r="I31" s="270"/>
      <c r="J31" s="270"/>
      <c r="K31" s="270"/>
      <c r="L31" s="270"/>
      <c r="M31" s="270"/>
      <c r="N31" s="270"/>
      <c r="O31" s="270"/>
      <c r="P31" s="270"/>
      <c r="Q31" s="270"/>
      <c r="R31" s="270"/>
      <c r="S31" s="270"/>
      <c r="T31" s="270"/>
      <c r="U31" s="270"/>
      <c r="V31" s="270"/>
      <c r="W31" s="270"/>
      <c r="X31" s="270"/>
      <c r="Y31" s="270"/>
      <c r="Z31" s="270"/>
    </row>
    <row r="32" spans="1:26" ht="15.75" customHeight="1">
      <c r="A32" s="270"/>
      <c r="B32" s="270"/>
      <c r="C32" s="270"/>
      <c r="D32" s="270"/>
      <c r="E32" s="270"/>
      <c r="F32" s="270"/>
      <c r="G32" s="270"/>
      <c r="H32" s="270"/>
      <c r="I32" s="270"/>
      <c r="J32" s="270"/>
      <c r="K32" s="270"/>
      <c r="L32" s="270"/>
      <c r="M32" s="270"/>
      <c r="N32" s="270"/>
      <c r="O32" s="270"/>
      <c r="P32" s="270"/>
      <c r="Q32" s="270"/>
      <c r="R32" s="270"/>
      <c r="S32" s="270"/>
      <c r="T32" s="270"/>
      <c r="U32" s="270"/>
      <c r="V32" s="270"/>
      <c r="W32" s="270"/>
      <c r="X32" s="270"/>
      <c r="Y32" s="270"/>
      <c r="Z32" s="270"/>
    </row>
    <row r="33" spans="1:26" ht="15.75" customHeight="1">
      <c r="A33" s="270"/>
      <c r="B33" s="270"/>
      <c r="C33" s="270"/>
      <c r="D33" s="270"/>
      <c r="E33" s="270"/>
      <c r="F33" s="270"/>
      <c r="G33" s="270"/>
      <c r="H33" s="270"/>
      <c r="I33" s="270"/>
      <c r="J33" s="270"/>
      <c r="K33" s="270"/>
      <c r="L33" s="270"/>
      <c r="M33" s="270"/>
      <c r="N33" s="270"/>
      <c r="O33" s="270"/>
      <c r="P33" s="270"/>
      <c r="Q33" s="270"/>
      <c r="R33" s="270"/>
      <c r="S33" s="270"/>
      <c r="T33" s="270"/>
      <c r="U33" s="270"/>
      <c r="V33" s="270"/>
      <c r="W33" s="270"/>
      <c r="X33" s="270"/>
      <c r="Y33" s="270"/>
      <c r="Z33" s="270"/>
    </row>
    <row r="34" spans="1:26" ht="15.75" customHeight="1">
      <c r="A34" s="270"/>
      <c r="B34" s="270"/>
      <c r="C34" s="270"/>
      <c r="D34" s="270"/>
      <c r="E34" s="270"/>
      <c r="F34" s="270"/>
      <c r="G34" s="270"/>
      <c r="H34" s="270"/>
      <c r="I34" s="270"/>
      <c r="J34" s="270"/>
      <c r="K34" s="270"/>
      <c r="L34" s="270"/>
      <c r="M34" s="270"/>
      <c r="N34" s="270"/>
      <c r="O34" s="270"/>
      <c r="P34" s="270"/>
      <c r="Q34" s="270"/>
      <c r="R34" s="270"/>
      <c r="S34" s="270"/>
      <c r="T34" s="270"/>
      <c r="U34" s="270"/>
      <c r="V34" s="270"/>
      <c r="W34" s="270"/>
      <c r="X34" s="270"/>
      <c r="Y34" s="270"/>
      <c r="Z34" s="270"/>
    </row>
    <row r="35" spans="1:26" ht="15.75" customHeight="1">
      <c r="A35" s="270"/>
      <c r="B35" s="270"/>
      <c r="C35" s="270"/>
      <c r="D35" s="270"/>
      <c r="E35" s="270"/>
      <c r="F35" s="270"/>
      <c r="G35" s="270"/>
      <c r="H35" s="270"/>
      <c r="I35" s="270"/>
      <c r="J35" s="270"/>
      <c r="K35" s="270"/>
      <c r="L35" s="270"/>
      <c r="M35" s="270"/>
      <c r="N35" s="270"/>
      <c r="O35" s="270"/>
      <c r="P35" s="270"/>
      <c r="Q35" s="270"/>
      <c r="R35" s="270"/>
      <c r="S35" s="270"/>
      <c r="T35" s="270"/>
      <c r="U35" s="270"/>
      <c r="V35" s="270"/>
      <c r="W35" s="270"/>
      <c r="X35" s="270"/>
      <c r="Y35" s="270"/>
      <c r="Z35" s="270"/>
    </row>
    <row r="36" spans="1:26" ht="15.75" customHeight="1">
      <c r="A36" s="270"/>
      <c r="B36" s="270"/>
      <c r="C36" s="270"/>
      <c r="D36" s="270"/>
      <c r="E36" s="270"/>
      <c r="F36" s="270"/>
      <c r="G36" s="270"/>
      <c r="H36" s="270"/>
      <c r="I36" s="270"/>
      <c r="J36" s="270"/>
      <c r="K36" s="270"/>
      <c r="L36" s="270"/>
      <c r="M36" s="270"/>
      <c r="N36" s="270"/>
      <c r="O36" s="270"/>
      <c r="P36" s="270"/>
      <c r="Q36" s="270"/>
      <c r="R36" s="270"/>
      <c r="S36" s="270"/>
      <c r="T36" s="270"/>
      <c r="U36" s="270"/>
      <c r="V36" s="270"/>
      <c r="W36" s="270"/>
      <c r="X36" s="270"/>
      <c r="Y36" s="270"/>
      <c r="Z36" s="270"/>
    </row>
    <row r="37" spans="1:26" ht="15.75" customHeight="1">
      <c r="A37" s="270"/>
      <c r="B37" s="270"/>
      <c r="C37" s="270"/>
      <c r="D37" s="270"/>
      <c r="E37" s="270"/>
      <c r="F37" s="270"/>
      <c r="G37" s="270"/>
      <c r="H37" s="270"/>
      <c r="I37" s="270"/>
      <c r="J37" s="270"/>
      <c r="K37" s="270"/>
      <c r="L37" s="270"/>
      <c r="M37" s="270"/>
      <c r="N37" s="270"/>
      <c r="O37" s="270"/>
      <c r="P37" s="270"/>
      <c r="Q37" s="270"/>
      <c r="R37" s="270"/>
      <c r="S37" s="270"/>
      <c r="T37" s="270"/>
      <c r="U37" s="270"/>
      <c r="V37" s="270"/>
      <c r="W37" s="270"/>
      <c r="X37" s="270"/>
      <c r="Y37" s="270"/>
      <c r="Z37" s="270"/>
    </row>
    <row r="38" spans="1:26" ht="15.75" customHeight="1">
      <c r="A38" s="270"/>
      <c r="B38" s="270"/>
      <c r="C38" s="270"/>
      <c r="D38" s="270"/>
      <c r="E38" s="270"/>
      <c r="F38" s="270"/>
      <c r="G38" s="270"/>
      <c r="H38" s="270"/>
      <c r="I38" s="270"/>
      <c r="J38" s="270"/>
      <c r="K38" s="270"/>
      <c r="L38" s="270"/>
      <c r="M38" s="270"/>
      <c r="N38" s="270"/>
      <c r="O38" s="270"/>
      <c r="P38" s="270"/>
      <c r="Q38" s="270"/>
      <c r="R38" s="270"/>
      <c r="S38" s="270"/>
      <c r="T38" s="270"/>
      <c r="U38" s="270"/>
      <c r="V38" s="270"/>
      <c r="W38" s="270"/>
      <c r="X38" s="270"/>
      <c r="Y38" s="270"/>
      <c r="Z38" s="270"/>
    </row>
    <row r="39" spans="1:26" ht="15.75" customHeight="1">
      <c r="A39" s="270"/>
      <c r="B39" s="270"/>
      <c r="C39" s="270"/>
      <c r="D39" s="270"/>
      <c r="E39" s="270"/>
      <c r="F39" s="270"/>
      <c r="G39" s="270"/>
      <c r="H39" s="270"/>
      <c r="I39" s="270"/>
      <c r="J39" s="270"/>
      <c r="K39" s="270"/>
      <c r="L39" s="270"/>
      <c r="M39" s="270"/>
      <c r="N39" s="270"/>
      <c r="O39" s="270"/>
      <c r="P39" s="270"/>
      <c r="Q39" s="270"/>
      <c r="R39" s="270"/>
      <c r="S39" s="270"/>
      <c r="T39" s="270"/>
      <c r="U39" s="270"/>
      <c r="V39" s="270"/>
      <c r="W39" s="270"/>
      <c r="X39" s="270"/>
      <c r="Y39" s="270"/>
      <c r="Z39" s="270"/>
    </row>
    <row r="40" spans="1:26" ht="15.75" customHeight="1">
      <c r="A40" s="270"/>
      <c r="B40" s="270"/>
      <c r="C40" s="270"/>
      <c r="D40" s="270"/>
      <c r="E40" s="270"/>
      <c r="F40" s="270"/>
      <c r="G40" s="270"/>
      <c r="H40" s="270"/>
      <c r="I40" s="270"/>
      <c r="J40" s="270"/>
      <c r="K40" s="270"/>
      <c r="L40" s="270"/>
      <c r="M40" s="270"/>
      <c r="N40" s="270"/>
      <c r="O40" s="270"/>
      <c r="P40" s="270"/>
      <c r="Q40" s="270"/>
      <c r="R40" s="270"/>
      <c r="S40" s="270"/>
      <c r="T40" s="270"/>
      <c r="U40" s="270"/>
      <c r="V40" s="270"/>
      <c r="W40" s="270"/>
      <c r="X40" s="270"/>
      <c r="Y40" s="270"/>
      <c r="Z40" s="270"/>
    </row>
    <row r="41" spans="1:26" ht="15.75" customHeight="1">
      <c r="A41" s="270"/>
      <c r="B41" s="270"/>
      <c r="C41" s="270"/>
      <c r="D41" s="270"/>
      <c r="E41" s="270"/>
      <c r="F41" s="270"/>
      <c r="G41" s="270"/>
      <c r="H41" s="270"/>
      <c r="I41" s="270"/>
      <c r="J41" s="270"/>
      <c r="K41" s="270"/>
      <c r="L41" s="270"/>
      <c r="M41" s="270"/>
      <c r="N41" s="270"/>
      <c r="O41" s="270"/>
      <c r="P41" s="270"/>
      <c r="Q41" s="270"/>
      <c r="R41" s="270"/>
      <c r="S41" s="270"/>
      <c r="T41" s="270"/>
      <c r="U41" s="270"/>
      <c r="V41" s="270"/>
      <c r="W41" s="270"/>
      <c r="X41" s="270"/>
      <c r="Y41" s="270"/>
      <c r="Z41" s="270"/>
    </row>
    <row r="42" spans="1:26" ht="15.75" customHeight="1">
      <c r="A42" s="270"/>
      <c r="B42" s="270"/>
      <c r="C42" s="270"/>
      <c r="D42" s="270"/>
      <c r="E42" s="270"/>
      <c r="F42" s="270"/>
      <c r="G42" s="270"/>
      <c r="H42" s="270"/>
      <c r="I42" s="270"/>
      <c r="J42" s="270"/>
      <c r="K42" s="270"/>
      <c r="L42" s="270"/>
      <c r="M42" s="270"/>
      <c r="N42" s="270"/>
      <c r="O42" s="270"/>
      <c r="P42" s="270"/>
      <c r="Q42" s="270"/>
      <c r="R42" s="270"/>
      <c r="S42" s="270"/>
      <c r="T42" s="270"/>
      <c r="U42" s="270"/>
      <c r="V42" s="270"/>
      <c r="W42" s="270"/>
      <c r="X42" s="270"/>
      <c r="Y42" s="270"/>
      <c r="Z42" s="270"/>
    </row>
    <row r="43" spans="1:26" ht="15.75" customHeight="1">
      <c r="A43" s="270"/>
      <c r="B43" s="270"/>
      <c r="C43" s="270"/>
      <c r="D43" s="270"/>
      <c r="E43" s="270"/>
      <c r="F43" s="270"/>
      <c r="G43" s="270"/>
      <c r="H43" s="270"/>
      <c r="I43" s="270"/>
      <c r="J43" s="270"/>
      <c r="K43" s="270"/>
      <c r="L43" s="270"/>
      <c r="M43" s="270"/>
      <c r="N43" s="270"/>
      <c r="O43" s="270"/>
      <c r="P43" s="270"/>
      <c r="Q43" s="270"/>
      <c r="R43" s="270"/>
      <c r="S43" s="270"/>
      <c r="T43" s="270"/>
      <c r="U43" s="270"/>
      <c r="V43" s="270"/>
      <c r="W43" s="270"/>
      <c r="X43" s="270"/>
      <c r="Y43" s="270"/>
      <c r="Z43" s="270"/>
    </row>
    <row r="44" spans="1:26" ht="15.75" customHeight="1">
      <c r="A44" s="270"/>
      <c r="B44" s="270"/>
      <c r="C44" s="270"/>
      <c r="D44" s="270"/>
      <c r="E44" s="270"/>
      <c r="F44" s="270"/>
      <c r="G44" s="270"/>
      <c r="H44" s="270"/>
      <c r="I44" s="270"/>
      <c r="J44" s="270"/>
      <c r="K44" s="270"/>
      <c r="L44" s="270"/>
      <c r="M44" s="270"/>
      <c r="N44" s="270"/>
      <c r="O44" s="270"/>
      <c r="P44" s="270"/>
      <c r="Q44" s="270"/>
      <c r="R44" s="270"/>
      <c r="S44" s="270"/>
      <c r="T44" s="270"/>
      <c r="U44" s="270"/>
      <c r="V44" s="270"/>
      <c r="W44" s="270"/>
      <c r="X44" s="270"/>
      <c r="Y44" s="270"/>
      <c r="Z44" s="270"/>
    </row>
    <row r="45" spans="1:26" ht="15.75" customHeight="1">
      <c r="A45" s="270"/>
      <c r="B45" s="270"/>
      <c r="C45" s="270"/>
      <c r="D45" s="270"/>
      <c r="E45" s="270"/>
      <c r="F45" s="270"/>
      <c r="G45" s="270"/>
      <c r="H45" s="270"/>
      <c r="I45" s="270"/>
      <c r="J45" s="270"/>
      <c r="K45" s="270"/>
      <c r="L45" s="270"/>
      <c r="M45" s="270"/>
      <c r="N45" s="270"/>
      <c r="O45" s="270"/>
      <c r="P45" s="270"/>
      <c r="Q45" s="270"/>
      <c r="R45" s="270"/>
      <c r="S45" s="270"/>
      <c r="T45" s="270"/>
      <c r="U45" s="270"/>
      <c r="V45" s="270"/>
      <c r="W45" s="270"/>
      <c r="X45" s="270"/>
      <c r="Y45" s="270"/>
      <c r="Z45" s="270"/>
    </row>
    <row r="46" spans="1:26" ht="15.75" customHeight="1">
      <c r="A46" s="270"/>
      <c r="B46" s="270"/>
      <c r="C46" s="270"/>
      <c r="D46" s="270"/>
      <c r="E46" s="270"/>
      <c r="F46" s="270"/>
      <c r="G46" s="270"/>
      <c r="H46" s="270"/>
      <c r="I46" s="270"/>
      <c r="J46" s="270"/>
      <c r="K46" s="270"/>
      <c r="L46" s="270"/>
      <c r="M46" s="270"/>
      <c r="N46" s="270"/>
      <c r="O46" s="270"/>
      <c r="P46" s="270"/>
      <c r="Q46" s="270"/>
      <c r="R46" s="270"/>
      <c r="S46" s="270"/>
      <c r="T46" s="270"/>
      <c r="U46" s="270"/>
      <c r="V46" s="270"/>
      <c r="W46" s="270"/>
      <c r="X46" s="270"/>
      <c r="Y46" s="270"/>
      <c r="Z46" s="270"/>
    </row>
    <row r="47" spans="1:26" ht="15.75" customHeight="1">
      <c r="A47" s="270"/>
      <c r="B47" s="270"/>
      <c r="C47" s="270"/>
      <c r="D47" s="270"/>
      <c r="E47" s="270"/>
      <c r="F47" s="270"/>
      <c r="G47" s="270"/>
      <c r="H47" s="270"/>
      <c r="I47" s="270"/>
      <c r="J47" s="270"/>
      <c r="K47" s="270"/>
      <c r="L47" s="270"/>
      <c r="M47" s="270"/>
      <c r="N47" s="270"/>
      <c r="O47" s="270"/>
      <c r="P47" s="270"/>
      <c r="Q47" s="270"/>
      <c r="R47" s="270"/>
      <c r="S47" s="270"/>
      <c r="T47" s="270"/>
      <c r="U47" s="270"/>
      <c r="V47" s="270"/>
      <c r="W47" s="270"/>
      <c r="X47" s="270"/>
      <c r="Y47" s="270"/>
      <c r="Z47" s="270"/>
    </row>
    <row r="48" spans="1:26" ht="15.75" customHeight="1">
      <c r="A48" s="270"/>
      <c r="B48" s="270"/>
      <c r="C48" s="270"/>
      <c r="D48" s="270"/>
      <c r="E48" s="270"/>
      <c r="F48" s="270"/>
      <c r="G48" s="270"/>
      <c r="H48" s="270"/>
      <c r="I48" s="270"/>
      <c r="J48" s="270"/>
      <c r="K48" s="270"/>
      <c r="L48" s="270"/>
      <c r="M48" s="270"/>
      <c r="N48" s="270"/>
      <c r="O48" s="270"/>
      <c r="P48" s="270"/>
      <c r="Q48" s="270"/>
      <c r="R48" s="270"/>
      <c r="S48" s="270"/>
      <c r="T48" s="270"/>
      <c r="U48" s="270"/>
      <c r="V48" s="270"/>
      <c r="W48" s="270"/>
      <c r="X48" s="270"/>
      <c r="Y48" s="270"/>
      <c r="Z48" s="270"/>
    </row>
    <row r="49" spans="1:26" ht="15.75" customHeight="1">
      <c r="A49" s="270"/>
      <c r="B49" s="270"/>
      <c r="C49" s="270"/>
      <c r="D49" s="270"/>
      <c r="E49" s="270"/>
      <c r="F49" s="270"/>
      <c r="G49" s="270"/>
      <c r="H49" s="270"/>
      <c r="I49" s="270"/>
      <c r="J49" s="270"/>
      <c r="K49" s="270"/>
      <c r="L49" s="270"/>
      <c r="M49" s="270"/>
      <c r="N49" s="270"/>
      <c r="O49" s="270"/>
      <c r="P49" s="270"/>
      <c r="Q49" s="270"/>
      <c r="R49" s="270"/>
      <c r="S49" s="270"/>
      <c r="T49" s="270"/>
      <c r="U49" s="270"/>
      <c r="V49" s="270"/>
      <c r="W49" s="270"/>
      <c r="X49" s="270"/>
      <c r="Y49" s="270"/>
      <c r="Z49" s="270"/>
    </row>
    <row r="50" spans="1:26" ht="15.75" customHeight="1">
      <c r="A50" s="270"/>
      <c r="B50" s="270"/>
      <c r="C50" s="270"/>
      <c r="D50" s="270"/>
      <c r="E50" s="270"/>
      <c r="F50" s="270"/>
      <c r="G50" s="270"/>
      <c r="H50" s="270"/>
      <c r="I50" s="270"/>
      <c r="J50" s="270"/>
      <c r="K50" s="270"/>
      <c r="L50" s="270"/>
      <c r="M50" s="270"/>
      <c r="N50" s="270"/>
      <c r="O50" s="270"/>
      <c r="P50" s="270"/>
      <c r="Q50" s="270"/>
      <c r="R50" s="270"/>
      <c r="S50" s="270"/>
      <c r="T50" s="270"/>
      <c r="U50" s="270"/>
      <c r="V50" s="270"/>
      <c r="W50" s="270"/>
      <c r="X50" s="270"/>
      <c r="Y50" s="270"/>
      <c r="Z50" s="270"/>
    </row>
    <row r="51" spans="1:26" ht="15.75" customHeight="1">
      <c r="A51" s="270"/>
      <c r="B51" s="270"/>
      <c r="C51" s="270"/>
      <c r="D51" s="270"/>
      <c r="E51" s="270"/>
      <c r="F51" s="270"/>
      <c r="G51" s="270"/>
      <c r="H51" s="270"/>
      <c r="I51" s="270"/>
      <c r="J51" s="270"/>
      <c r="K51" s="270"/>
      <c r="L51" s="270"/>
      <c r="M51" s="270"/>
      <c r="N51" s="270"/>
      <c r="O51" s="270"/>
      <c r="P51" s="270"/>
      <c r="Q51" s="270"/>
      <c r="R51" s="270"/>
      <c r="S51" s="270"/>
      <c r="T51" s="270"/>
      <c r="U51" s="270"/>
      <c r="V51" s="270"/>
      <c r="W51" s="270"/>
      <c r="X51" s="270"/>
      <c r="Y51" s="270"/>
      <c r="Z51" s="270"/>
    </row>
    <row r="52" spans="1:26" ht="15.75" customHeight="1">
      <c r="A52" s="270"/>
      <c r="B52" s="270"/>
      <c r="C52" s="270"/>
      <c r="D52" s="270"/>
      <c r="E52" s="270"/>
      <c r="F52" s="270"/>
      <c r="G52" s="270"/>
      <c r="H52" s="270"/>
      <c r="I52" s="270"/>
      <c r="J52" s="270"/>
      <c r="K52" s="270"/>
      <c r="L52" s="270"/>
      <c r="M52" s="270"/>
      <c r="N52" s="270"/>
      <c r="O52" s="270"/>
      <c r="P52" s="270"/>
      <c r="Q52" s="270"/>
      <c r="R52" s="270"/>
      <c r="S52" s="270"/>
      <c r="T52" s="270"/>
      <c r="U52" s="270"/>
      <c r="V52" s="270"/>
      <c r="W52" s="270"/>
      <c r="X52" s="270"/>
      <c r="Y52" s="270"/>
      <c r="Z52" s="270"/>
    </row>
    <row r="53" spans="1:26" ht="15.75" customHeight="1">
      <c r="A53" s="270"/>
      <c r="B53" s="270"/>
      <c r="C53" s="270"/>
      <c r="D53" s="270"/>
      <c r="E53" s="270"/>
      <c r="F53" s="270"/>
      <c r="G53" s="270"/>
      <c r="H53" s="270"/>
      <c r="I53" s="270"/>
      <c r="J53" s="270"/>
      <c r="K53" s="270"/>
      <c r="L53" s="270"/>
      <c r="M53" s="270"/>
      <c r="N53" s="270"/>
      <c r="O53" s="270"/>
      <c r="P53" s="270"/>
      <c r="Q53" s="270"/>
      <c r="R53" s="270"/>
      <c r="S53" s="270"/>
      <c r="T53" s="270"/>
      <c r="U53" s="270"/>
      <c r="V53" s="270"/>
      <c r="W53" s="270"/>
      <c r="X53" s="270"/>
      <c r="Y53" s="270"/>
      <c r="Z53" s="270"/>
    </row>
    <row r="54" spans="1:26" ht="15.75" customHeight="1">
      <c r="A54" s="270"/>
      <c r="B54" s="270"/>
      <c r="C54" s="270"/>
      <c r="D54" s="270"/>
      <c r="E54" s="270"/>
      <c r="F54" s="270"/>
      <c r="G54" s="270"/>
      <c r="H54" s="270"/>
      <c r="I54" s="270"/>
      <c r="J54" s="270"/>
      <c r="K54" s="270"/>
      <c r="L54" s="270"/>
      <c r="M54" s="270"/>
      <c r="N54" s="270"/>
      <c r="O54" s="270"/>
      <c r="P54" s="270"/>
      <c r="Q54" s="270"/>
      <c r="R54" s="270"/>
      <c r="S54" s="270"/>
      <c r="T54" s="270"/>
      <c r="U54" s="270"/>
      <c r="V54" s="270"/>
      <c r="W54" s="270"/>
      <c r="X54" s="270"/>
      <c r="Y54" s="270"/>
      <c r="Z54" s="270"/>
    </row>
    <row r="55" spans="1:26" ht="15.75" customHeight="1">
      <c r="A55" s="270"/>
      <c r="B55" s="270"/>
      <c r="C55" s="270"/>
      <c r="D55" s="270"/>
      <c r="E55" s="270"/>
      <c r="F55" s="270"/>
      <c r="G55" s="270"/>
      <c r="H55" s="270"/>
      <c r="I55" s="270"/>
      <c r="J55" s="270"/>
      <c r="K55" s="270"/>
      <c r="L55" s="270"/>
      <c r="M55" s="270"/>
      <c r="N55" s="270"/>
      <c r="O55" s="270"/>
      <c r="P55" s="270"/>
      <c r="Q55" s="270"/>
      <c r="R55" s="270"/>
      <c r="S55" s="270"/>
      <c r="T55" s="270"/>
      <c r="U55" s="270"/>
      <c r="V55" s="270"/>
      <c r="W55" s="270"/>
      <c r="X55" s="270"/>
      <c r="Y55" s="270"/>
      <c r="Z55" s="270"/>
    </row>
    <row r="56" spans="1:26" ht="15.75" customHeight="1">
      <c r="A56" s="270"/>
      <c r="B56" s="270"/>
      <c r="C56" s="270"/>
      <c r="D56" s="270"/>
      <c r="E56" s="270"/>
      <c r="F56" s="270"/>
      <c r="G56" s="270"/>
      <c r="H56" s="270"/>
      <c r="I56" s="270"/>
      <c r="J56" s="270"/>
      <c r="K56" s="270"/>
      <c r="L56" s="270"/>
      <c r="M56" s="270"/>
      <c r="N56" s="270"/>
      <c r="O56" s="270"/>
      <c r="P56" s="270"/>
      <c r="Q56" s="270"/>
      <c r="R56" s="270"/>
      <c r="S56" s="270"/>
      <c r="T56" s="270"/>
      <c r="U56" s="270"/>
      <c r="V56" s="270"/>
      <c r="W56" s="270"/>
      <c r="X56" s="270"/>
      <c r="Y56" s="270"/>
      <c r="Z56" s="270"/>
    </row>
    <row r="57" spans="1:26" ht="15.75" customHeight="1">
      <c r="A57" s="270"/>
      <c r="B57" s="270"/>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row>
    <row r="58" spans="1:26" ht="15.75" customHeight="1">
      <c r="A58" s="270"/>
      <c r="B58" s="270"/>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row>
    <row r="59" spans="1:26" ht="15.75" customHeight="1">
      <c r="A59" s="270"/>
      <c r="B59" s="27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row>
    <row r="60" spans="1:26" ht="15.75" customHeight="1">
      <c r="A60" s="270"/>
      <c r="B60" s="270"/>
      <c r="C60" s="270"/>
      <c r="D60" s="270"/>
      <c r="E60" s="270"/>
      <c r="F60" s="270"/>
      <c r="G60" s="270"/>
      <c r="H60" s="270"/>
      <c r="I60" s="270"/>
      <c r="J60" s="270"/>
      <c r="K60" s="270"/>
      <c r="L60" s="270"/>
      <c r="M60" s="270"/>
      <c r="N60" s="270"/>
      <c r="O60" s="270"/>
      <c r="P60" s="270"/>
      <c r="Q60" s="270"/>
      <c r="R60" s="270"/>
      <c r="S60" s="270"/>
      <c r="T60" s="270"/>
      <c r="U60" s="270"/>
      <c r="V60" s="270"/>
      <c r="W60" s="270"/>
      <c r="X60" s="270"/>
      <c r="Y60" s="270"/>
      <c r="Z60" s="270"/>
    </row>
    <row r="61" spans="1:26" ht="15.75" customHeight="1">
      <c r="A61" s="270"/>
      <c r="B61" s="270"/>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row>
    <row r="62" spans="1:26" ht="15.75" customHeight="1">
      <c r="A62" s="270"/>
      <c r="B62" s="270"/>
      <c r="C62" s="270"/>
      <c r="D62" s="270"/>
      <c r="E62" s="270"/>
      <c r="F62" s="270"/>
      <c r="G62" s="270"/>
      <c r="H62" s="270"/>
      <c r="I62" s="270"/>
      <c r="J62" s="270"/>
      <c r="K62" s="270"/>
      <c r="L62" s="270"/>
      <c r="M62" s="270"/>
      <c r="N62" s="270"/>
      <c r="O62" s="270"/>
      <c r="P62" s="270"/>
      <c r="Q62" s="270"/>
      <c r="R62" s="270"/>
      <c r="S62" s="270"/>
      <c r="T62" s="270"/>
      <c r="U62" s="270"/>
      <c r="V62" s="270"/>
      <c r="W62" s="270"/>
      <c r="X62" s="270"/>
      <c r="Y62" s="270"/>
      <c r="Z62" s="270"/>
    </row>
    <row r="63" spans="1:26" ht="15.75" customHeight="1">
      <c r="A63" s="270"/>
      <c r="B63" s="270"/>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row>
    <row r="64" spans="1:26" ht="15.75" customHeight="1">
      <c r="A64" s="270"/>
      <c r="B64" s="27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row>
    <row r="65" spans="1:26" ht="15.75" customHeight="1">
      <c r="A65" s="270"/>
      <c r="B65" s="270"/>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row>
    <row r="66" spans="1:26" ht="15.75" customHeight="1">
      <c r="A66" s="270"/>
      <c r="B66" s="270"/>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row>
    <row r="67" spans="1:26" ht="15.75" customHeight="1">
      <c r="A67" s="270"/>
      <c r="B67" s="270"/>
      <c r="C67" s="270"/>
      <c r="D67" s="270"/>
      <c r="E67" s="270"/>
      <c r="F67" s="270"/>
      <c r="G67" s="270"/>
      <c r="H67" s="270"/>
      <c r="I67" s="270"/>
      <c r="J67" s="270"/>
      <c r="K67" s="270"/>
      <c r="L67" s="270"/>
      <c r="M67" s="270"/>
      <c r="N67" s="270"/>
      <c r="O67" s="270"/>
      <c r="P67" s="270"/>
      <c r="Q67" s="270"/>
      <c r="R67" s="270"/>
      <c r="S67" s="270"/>
      <c r="T67" s="270"/>
      <c r="U67" s="270"/>
      <c r="V67" s="270"/>
      <c r="W67" s="270"/>
      <c r="X67" s="270"/>
      <c r="Y67" s="270"/>
      <c r="Z67" s="270"/>
    </row>
    <row r="68" spans="1:26" ht="15.75" customHeight="1">
      <c r="A68" s="270"/>
      <c r="B68" s="270"/>
      <c r="C68" s="270"/>
      <c r="D68" s="270"/>
      <c r="E68" s="270"/>
      <c r="F68" s="270"/>
      <c r="G68" s="270"/>
      <c r="H68" s="270"/>
      <c r="I68" s="270"/>
      <c r="J68" s="270"/>
      <c r="K68" s="270"/>
      <c r="L68" s="270"/>
      <c r="M68" s="270"/>
      <c r="N68" s="270"/>
      <c r="O68" s="270"/>
      <c r="P68" s="270"/>
      <c r="Q68" s="270"/>
      <c r="R68" s="270"/>
      <c r="S68" s="270"/>
      <c r="T68" s="270"/>
      <c r="U68" s="270"/>
      <c r="V68" s="270"/>
      <c r="W68" s="270"/>
      <c r="X68" s="270"/>
      <c r="Y68" s="270"/>
      <c r="Z68" s="270"/>
    </row>
    <row r="69" spans="1:26" ht="15.75" customHeight="1">
      <c r="A69" s="270"/>
      <c r="B69" s="270"/>
      <c r="C69" s="270"/>
      <c r="D69" s="270"/>
      <c r="E69" s="270"/>
      <c r="F69" s="270"/>
      <c r="G69" s="270"/>
      <c r="H69" s="270"/>
      <c r="I69" s="270"/>
      <c r="J69" s="270"/>
      <c r="K69" s="270"/>
      <c r="L69" s="270"/>
      <c r="M69" s="270"/>
      <c r="N69" s="270"/>
      <c r="O69" s="270"/>
      <c r="P69" s="270"/>
      <c r="Q69" s="270"/>
      <c r="R69" s="270"/>
      <c r="S69" s="270"/>
      <c r="T69" s="270"/>
      <c r="U69" s="270"/>
      <c r="V69" s="270"/>
      <c r="W69" s="270"/>
      <c r="X69" s="270"/>
      <c r="Y69" s="270"/>
      <c r="Z69" s="270"/>
    </row>
    <row r="70" spans="1:26" ht="15.75" customHeight="1">
      <c r="A70" s="270"/>
      <c r="B70" s="270"/>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row>
    <row r="71" spans="1:26" ht="15.75" customHeight="1">
      <c r="A71" s="270"/>
      <c r="B71" s="270"/>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row>
    <row r="72" spans="1:26" ht="15.75" customHeight="1">
      <c r="A72" s="270"/>
      <c r="B72" s="270"/>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row>
    <row r="73" spans="1:26" ht="15.75" customHeight="1">
      <c r="A73" s="270"/>
      <c r="B73" s="270"/>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row>
    <row r="74" spans="1:26" ht="15.75" customHeight="1">
      <c r="A74" s="270"/>
      <c r="B74" s="270"/>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row>
    <row r="75" spans="1:26" ht="15.75" customHeight="1">
      <c r="A75" s="270"/>
      <c r="B75" s="270"/>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row>
    <row r="76" spans="1:26" ht="15.75" customHeight="1">
      <c r="A76" s="270"/>
      <c r="B76" s="270"/>
      <c r="C76" s="270"/>
      <c r="D76" s="270"/>
      <c r="E76" s="270"/>
      <c r="F76" s="270"/>
      <c r="G76" s="270"/>
      <c r="H76" s="270"/>
      <c r="I76" s="270"/>
      <c r="J76" s="270"/>
      <c r="K76" s="270"/>
      <c r="L76" s="270"/>
      <c r="M76" s="270"/>
      <c r="N76" s="270"/>
      <c r="O76" s="270"/>
      <c r="P76" s="270"/>
      <c r="Q76" s="270"/>
      <c r="R76" s="270"/>
      <c r="S76" s="270"/>
      <c r="T76" s="270"/>
      <c r="U76" s="270"/>
      <c r="V76" s="270"/>
      <c r="W76" s="270"/>
      <c r="X76" s="270"/>
      <c r="Y76" s="270"/>
      <c r="Z76" s="270"/>
    </row>
    <row r="77" spans="1:26" ht="15.75" customHeight="1">
      <c r="A77" s="270"/>
      <c r="B77" s="270"/>
      <c r="C77" s="270"/>
      <c r="D77" s="270"/>
      <c r="E77" s="270"/>
      <c r="F77" s="270"/>
      <c r="G77" s="270"/>
      <c r="H77" s="270"/>
      <c r="I77" s="270"/>
      <c r="J77" s="270"/>
      <c r="K77" s="270"/>
      <c r="L77" s="270"/>
      <c r="M77" s="270"/>
      <c r="N77" s="270"/>
      <c r="O77" s="270"/>
      <c r="P77" s="270"/>
      <c r="Q77" s="270"/>
      <c r="R77" s="270"/>
      <c r="S77" s="270"/>
      <c r="T77" s="270"/>
      <c r="U77" s="270"/>
      <c r="V77" s="270"/>
      <c r="W77" s="270"/>
      <c r="X77" s="270"/>
      <c r="Y77" s="270"/>
      <c r="Z77" s="270"/>
    </row>
    <row r="78" spans="1:26" ht="15.75" customHeight="1">
      <c r="A78" s="270"/>
      <c r="B78" s="270"/>
      <c r="C78" s="270"/>
      <c r="D78" s="270"/>
      <c r="E78" s="270"/>
      <c r="F78" s="270"/>
      <c r="G78" s="270"/>
      <c r="H78" s="270"/>
      <c r="I78" s="270"/>
      <c r="J78" s="270"/>
      <c r="K78" s="270"/>
      <c r="L78" s="270"/>
      <c r="M78" s="270"/>
      <c r="N78" s="270"/>
      <c r="O78" s="270"/>
      <c r="P78" s="270"/>
      <c r="Q78" s="270"/>
      <c r="R78" s="270"/>
      <c r="S78" s="270"/>
      <c r="T78" s="270"/>
      <c r="U78" s="270"/>
      <c r="V78" s="270"/>
      <c r="W78" s="270"/>
      <c r="X78" s="270"/>
      <c r="Y78" s="270"/>
      <c r="Z78" s="270"/>
    </row>
    <row r="79" spans="1:26" ht="15.75" customHeight="1">
      <c r="A79" s="270"/>
      <c r="B79" s="270"/>
      <c r="C79" s="270"/>
      <c r="D79" s="270"/>
      <c r="E79" s="270"/>
      <c r="F79" s="270"/>
      <c r="G79" s="270"/>
      <c r="H79" s="270"/>
      <c r="I79" s="270"/>
      <c r="J79" s="270"/>
      <c r="K79" s="270"/>
      <c r="L79" s="270"/>
      <c r="M79" s="270"/>
      <c r="N79" s="270"/>
      <c r="O79" s="270"/>
      <c r="P79" s="270"/>
      <c r="Q79" s="270"/>
      <c r="R79" s="270"/>
      <c r="S79" s="270"/>
      <c r="T79" s="270"/>
      <c r="U79" s="270"/>
      <c r="V79" s="270"/>
      <c r="W79" s="270"/>
      <c r="X79" s="270"/>
      <c r="Y79" s="270"/>
      <c r="Z79" s="270"/>
    </row>
    <row r="80" spans="1:26" ht="15.75" customHeight="1">
      <c r="A80" s="270"/>
      <c r="B80" s="270"/>
      <c r="C80" s="270"/>
      <c r="D80" s="270"/>
      <c r="E80" s="270"/>
      <c r="F80" s="270"/>
      <c r="G80" s="270"/>
      <c r="H80" s="270"/>
      <c r="I80" s="270"/>
      <c r="J80" s="270"/>
      <c r="K80" s="270"/>
      <c r="L80" s="270"/>
      <c r="M80" s="270"/>
      <c r="N80" s="270"/>
      <c r="O80" s="270"/>
      <c r="P80" s="270"/>
      <c r="Q80" s="270"/>
      <c r="R80" s="270"/>
      <c r="S80" s="270"/>
      <c r="T80" s="270"/>
      <c r="U80" s="270"/>
      <c r="V80" s="270"/>
      <c r="W80" s="270"/>
      <c r="X80" s="270"/>
      <c r="Y80" s="270"/>
      <c r="Z80" s="270"/>
    </row>
    <row r="81" spans="1:26" ht="15.75" customHeight="1">
      <c r="A81" s="270"/>
      <c r="B81" s="270"/>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row>
    <row r="82" spans="1:26" ht="15.75" customHeight="1">
      <c r="A82" s="270"/>
      <c r="B82" s="270"/>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row>
    <row r="83" spans="1:26" ht="15.75" customHeight="1">
      <c r="A83" s="270"/>
      <c r="B83" s="270"/>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row>
    <row r="84" spans="1:26" ht="15.75" customHeight="1">
      <c r="A84" s="270"/>
      <c r="B84" s="270"/>
      <c r="C84" s="270"/>
      <c r="D84" s="270"/>
      <c r="E84" s="270"/>
      <c r="F84" s="270"/>
      <c r="G84" s="270"/>
      <c r="H84" s="270"/>
      <c r="I84" s="270"/>
      <c r="J84" s="270"/>
      <c r="K84" s="270"/>
      <c r="L84" s="270"/>
      <c r="M84" s="270"/>
      <c r="N84" s="270"/>
      <c r="O84" s="270"/>
      <c r="P84" s="270"/>
      <c r="Q84" s="270"/>
      <c r="R84" s="270"/>
      <c r="S84" s="270"/>
      <c r="T84" s="270"/>
      <c r="U84" s="270"/>
      <c r="V84" s="270"/>
      <c r="W84" s="270"/>
      <c r="X84" s="270"/>
      <c r="Y84" s="270"/>
      <c r="Z84" s="270"/>
    </row>
    <row r="85" spans="1:26" ht="15.75" customHeight="1">
      <c r="A85" s="270"/>
      <c r="B85" s="270"/>
      <c r="C85" s="270"/>
      <c r="D85" s="270"/>
      <c r="E85" s="270"/>
      <c r="F85" s="270"/>
      <c r="G85" s="270"/>
      <c r="H85" s="270"/>
      <c r="I85" s="270"/>
      <c r="J85" s="270"/>
      <c r="K85" s="270"/>
      <c r="L85" s="270"/>
      <c r="M85" s="270"/>
      <c r="N85" s="270"/>
      <c r="O85" s="270"/>
      <c r="P85" s="270"/>
      <c r="Q85" s="270"/>
      <c r="R85" s="270"/>
      <c r="S85" s="270"/>
      <c r="T85" s="270"/>
      <c r="U85" s="270"/>
      <c r="V85" s="270"/>
      <c r="W85" s="270"/>
      <c r="X85" s="270"/>
      <c r="Y85" s="270"/>
      <c r="Z85" s="270"/>
    </row>
    <row r="86" spans="1:26" ht="15.75" customHeight="1">
      <c r="A86" s="270"/>
      <c r="B86" s="270"/>
      <c r="C86" s="270"/>
      <c r="D86" s="270"/>
      <c r="E86" s="270"/>
      <c r="F86" s="270"/>
      <c r="G86" s="270"/>
      <c r="H86" s="270"/>
      <c r="I86" s="270"/>
      <c r="J86" s="270"/>
      <c r="K86" s="270"/>
      <c r="L86" s="270"/>
      <c r="M86" s="270"/>
      <c r="N86" s="270"/>
      <c r="O86" s="270"/>
      <c r="P86" s="270"/>
      <c r="Q86" s="270"/>
      <c r="R86" s="270"/>
      <c r="S86" s="270"/>
      <c r="T86" s="270"/>
      <c r="U86" s="270"/>
      <c r="V86" s="270"/>
      <c r="W86" s="270"/>
      <c r="X86" s="270"/>
      <c r="Y86" s="270"/>
      <c r="Z86" s="270"/>
    </row>
    <row r="87" spans="1:26" ht="15.75" customHeight="1">
      <c r="A87" s="270"/>
      <c r="B87" s="270"/>
      <c r="C87" s="270"/>
      <c r="D87" s="270"/>
      <c r="E87" s="270"/>
      <c r="F87" s="270"/>
      <c r="G87" s="270"/>
      <c r="H87" s="270"/>
      <c r="I87" s="270"/>
      <c r="J87" s="270"/>
      <c r="K87" s="270"/>
      <c r="L87" s="270"/>
      <c r="M87" s="270"/>
      <c r="N87" s="270"/>
      <c r="O87" s="270"/>
      <c r="P87" s="270"/>
      <c r="Q87" s="270"/>
      <c r="R87" s="270"/>
      <c r="S87" s="270"/>
      <c r="T87" s="270"/>
      <c r="U87" s="270"/>
      <c r="V87" s="270"/>
      <c r="W87" s="270"/>
      <c r="X87" s="270"/>
      <c r="Y87" s="270"/>
      <c r="Z87" s="270"/>
    </row>
    <row r="88" spans="1:26" ht="15.75" customHeight="1">
      <c r="A88" s="270"/>
      <c r="B88" s="270"/>
      <c r="C88" s="270"/>
      <c r="D88" s="270"/>
      <c r="E88" s="270"/>
      <c r="F88" s="270"/>
      <c r="G88" s="270"/>
      <c r="H88" s="270"/>
      <c r="I88" s="270"/>
      <c r="J88" s="270"/>
      <c r="K88" s="270"/>
      <c r="L88" s="270"/>
      <c r="M88" s="270"/>
      <c r="N88" s="270"/>
      <c r="O88" s="270"/>
      <c r="P88" s="270"/>
      <c r="Q88" s="270"/>
      <c r="R88" s="270"/>
      <c r="S88" s="270"/>
      <c r="T88" s="270"/>
      <c r="U88" s="270"/>
      <c r="V88" s="270"/>
      <c r="W88" s="270"/>
      <c r="X88" s="270"/>
      <c r="Y88" s="270"/>
      <c r="Z88" s="270"/>
    </row>
    <row r="89" spans="1:26" ht="15.75" customHeight="1">
      <c r="A89" s="270"/>
      <c r="B89" s="270"/>
      <c r="C89" s="270"/>
      <c r="D89" s="270"/>
      <c r="E89" s="270"/>
      <c r="F89" s="270"/>
      <c r="G89" s="270"/>
      <c r="H89" s="270"/>
      <c r="I89" s="270"/>
      <c r="J89" s="270"/>
      <c r="K89" s="270"/>
      <c r="L89" s="270"/>
      <c r="M89" s="270"/>
      <c r="N89" s="270"/>
      <c r="O89" s="270"/>
      <c r="P89" s="270"/>
      <c r="Q89" s="270"/>
      <c r="R89" s="270"/>
      <c r="S89" s="270"/>
      <c r="T89" s="270"/>
      <c r="U89" s="270"/>
      <c r="V89" s="270"/>
      <c r="W89" s="270"/>
      <c r="X89" s="270"/>
      <c r="Y89" s="270"/>
      <c r="Z89" s="270"/>
    </row>
    <row r="90" spans="1:26" ht="15.75" customHeight="1">
      <c r="A90" s="270"/>
      <c r="B90" s="270"/>
      <c r="C90" s="270"/>
      <c r="D90" s="270"/>
      <c r="E90" s="270"/>
      <c r="F90" s="270"/>
      <c r="G90" s="270"/>
      <c r="H90" s="270"/>
      <c r="I90" s="270"/>
      <c r="J90" s="270"/>
      <c r="K90" s="270"/>
      <c r="L90" s="270"/>
      <c r="M90" s="270"/>
      <c r="N90" s="270"/>
      <c r="O90" s="270"/>
      <c r="P90" s="270"/>
      <c r="Q90" s="270"/>
      <c r="R90" s="270"/>
      <c r="S90" s="270"/>
      <c r="T90" s="270"/>
      <c r="U90" s="270"/>
      <c r="V90" s="270"/>
      <c r="W90" s="270"/>
      <c r="X90" s="270"/>
      <c r="Y90" s="270"/>
      <c r="Z90" s="270"/>
    </row>
    <row r="91" spans="1:26" ht="15.75" customHeight="1">
      <c r="A91" s="270"/>
      <c r="B91" s="270"/>
      <c r="C91" s="270"/>
      <c r="D91" s="270"/>
      <c r="E91" s="270"/>
      <c r="F91" s="270"/>
      <c r="G91" s="270"/>
      <c r="H91" s="270"/>
      <c r="I91" s="270"/>
      <c r="J91" s="270"/>
      <c r="K91" s="270"/>
      <c r="L91" s="270"/>
      <c r="M91" s="270"/>
      <c r="N91" s="270"/>
      <c r="O91" s="270"/>
      <c r="P91" s="270"/>
      <c r="Q91" s="270"/>
      <c r="R91" s="270"/>
      <c r="S91" s="270"/>
      <c r="T91" s="270"/>
      <c r="U91" s="270"/>
      <c r="V91" s="270"/>
      <c r="W91" s="270"/>
      <c r="X91" s="270"/>
      <c r="Y91" s="270"/>
      <c r="Z91" s="270"/>
    </row>
    <row r="92" spans="1:26" ht="15.75" customHeight="1">
      <c r="A92" s="270"/>
      <c r="B92" s="270"/>
      <c r="C92" s="270"/>
      <c r="D92" s="270"/>
      <c r="E92" s="270"/>
      <c r="F92" s="270"/>
      <c r="G92" s="270"/>
      <c r="H92" s="270"/>
      <c r="I92" s="270"/>
      <c r="J92" s="270"/>
      <c r="K92" s="270"/>
      <c r="L92" s="270"/>
      <c r="M92" s="270"/>
      <c r="N92" s="270"/>
      <c r="O92" s="270"/>
      <c r="P92" s="270"/>
      <c r="Q92" s="270"/>
      <c r="R92" s="270"/>
      <c r="S92" s="270"/>
      <c r="T92" s="270"/>
      <c r="U92" s="270"/>
      <c r="V92" s="270"/>
      <c r="W92" s="270"/>
      <c r="X92" s="270"/>
      <c r="Y92" s="270"/>
      <c r="Z92" s="270"/>
    </row>
    <row r="93" spans="1:26" ht="15.75" customHeight="1">
      <c r="A93" s="270"/>
      <c r="B93" s="270"/>
      <c r="C93" s="270"/>
      <c r="D93" s="270"/>
      <c r="E93" s="270"/>
      <c r="F93" s="270"/>
      <c r="G93" s="270"/>
      <c r="H93" s="270"/>
      <c r="I93" s="270"/>
      <c r="J93" s="270"/>
      <c r="K93" s="270"/>
      <c r="L93" s="270"/>
      <c r="M93" s="270"/>
      <c r="N93" s="270"/>
      <c r="O93" s="270"/>
      <c r="P93" s="270"/>
      <c r="Q93" s="270"/>
      <c r="R93" s="270"/>
      <c r="S93" s="270"/>
      <c r="T93" s="270"/>
      <c r="U93" s="270"/>
      <c r="V93" s="270"/>
      <c r="W93" s="270"/>
      <c r="X93" s="270"/>
      <c r="Y93" s="270"/>
      <c r="Z93" s="270"/>
    </row>
    <row r="94" spans="1:26" ht="15.75" customHeight="1">
      <c r="A94" s="270"/>
      <c r="B94" s="270"/>
      <c r="C94" s="270"/>
      <c r="D94" s="270"/>
      <c r="E94" s="270"/>
      <c r="F94" s="270"/>
      <c r="G94" s="270"/>
      <c r="H94" s="270"/>
      <c r="I94" s="270"/>
      <c r="J94" s="270"/>
      <c r="K94" s="270"/>
      <c r="L94" s="270"/>
      <c r="M94" s="270"/>
      <c r="N94" s="270"/>
      <c r="O94" s="270"/>
      <c r="P94" s="270"/>
      <c r="Q94" s="270"/>
      <c r="R94" s="270"/>
      <c r="S94" s="270"/>
      <c r="T94" s="270"/>
      <c r="U94" s="270"/>
      <c r="V94" s="270"/>
      <c r="W94" s="270"/>
      <c r="X94" s="270"/>
      <c r="Y94" s="270"/>
      <c r="Z94" s="270"/>
    </row>
    <row r="95" spans="1:26" ht="15.75" customHeight="1">
      <c r="A95" s="270"/>
      <c r="B95" s="270"/>
      <c r="C95" s="270"/>
      <c r="D95" s="270"/>
      <c r="E95" s="270"/>
      <c r="F95" s="270"/>
      <c r="G95" s="270"/>
      <c r="H95" s="270"/>
      <c r="I95" s="270"/>
      <c r="J95" s="270"/>
      <c r="K95" s="270"/>
      <c r="L95" s="270"/>
      <c r="M95" s="270"/>
      <c r="N95" s="270"/>
      <c r="O95" s="270"/>
      <c r="P95" s="270"/>
      <c r="Q95" s="270"/>
      <c r="R95" s="270"/>
      <c r="S95" s="270"/>
      <c r="T95" s="270"/>
      <c r="U95" s="270"/>
      <c r="V95" s="270"/>
      <c r="W95" s="270"/>
      <c r="X95" s="270"/>
      <c r="Y95" s="270"/>
      <c r="Z95" s="270"/>
    </row>
    <row r="96" spans="1:26" ht="15.75" customHeight="1">
      <c r="A96" s="270"/>
      <c r="B96" s="270"/>
      <c r="C96" s="270"/>
      <c r="D96" s="270"/>
      <c r="E96" s="270"/>
      <c r="F96" s="270"/>
      <c r="G96" s="270"/>
      <c r="H96" s="270"/>
      <c r="I96" s="270"/>
      <c r="J96" s="270"/>
      <c r="K96" s="270"/>
      <c r="L96" s="270"/>
      <c r="M96" s="270"/>
      <c r="N96" s="270"/>
      <c r="O96" s="270"/>
      <c r="P96" s="270"/>
      <c r="Q96" s="270"/>
      <c r="R96" s="270"/>
      <c r="S96" s="270"/>
      <c r="T96" s="270"/>
      <c r="U96" s="270"/>
      <c r="V96" s="270"/>
      <c r="W96" s="270"/>
      <c r="X96" s="270"/>
      <c r="Y96" s="270"/>
      <c r="Z96" s="270"/>
    </row>
    <row r="97" spans="1:26" ht="15.75" customHeight="1">
      <c r="A97" s="270"/>
      <c r="B97" s="270"/>
      <c r="C97" s="270"/>
      <c r="D97" s="270"/>
      <c r="E97" s="270"/>
      <c r="F97" s="270"/>
      <c r="G97" s="270"/>
      <c r="H97" s="270"/>
      <c r="I97" s="270"/>
      <c r="J97" s="270"/>
      <c r="K97" s="270"/>
      <c r="L97" s="270"/>
      <c r="M97" s="270"/>
      <c r="N97" s="270"/>
      <c r="O97" s="270"/>
      <c r="P97" s="270"/>
      <c r="Q97" s="270"/>
      <c r="R97" s="270"/>
      <c r="S97" s="270"/>
      <c r="T97" s="270"/>
      <c r="U97" s="270"/>
      <c r="V97" s="270"/>
      <c r="W97" s="270"/>
      <c r="X97" s="270"/>
      <c r="Y97" s="270"/>
      <c r="Z97" s="270"/>
    </row>
    <row r="98" spans="1:26" ht="15.75" customHeight="1">
      <c r="A98" s="270"/>
      <c r="B98" s="270"/>
      <c r="C98" s="270"/>
      <c r="D98" s="270"/>
      <c r="E98" s="270"/>
      <c r="F98" s="270"/>
      <c r="G98" s="270"/>
      <c r="H98" s="270"/>
      <c r="I98" s="270"/>
      <c r="J98" s="270"/>
      <c r="K98" s="270"/>
      <c r="L98" s="270"/>
      <c r="M98" s="270"/>
      <c r="N98" s="270"/>
      <c r="O98" s="270"/>
      <c r="P98" s="270"/>
      <c r="Q98" s="270"/>
      <c r="R98" s="270"/>
      <c r="S98" s="270"/>
      <c r="T98" s="270"/>
      <c r="U98" s="270"/>
      <c r="V98" s="270"/>
      <c r="W98" s="270"/>
      <c r="X98" s="270"/>
      <c r="Y98" s="270"/>
      <c r="Z98" s="270"/>
    </row>
    <row r="99" spans="1:26" ht="15.75" customHeight="1">
      <c r="A99" s="270"/>
      <c r="B99" s="270"/>
      <c r="C99" s="270"/>
      <c r="D99" s="270"/>
      <c r="E99" s="270"/>
      <c r="F99" s="270"/>
      <c r="G99" s="270"/>
      <c r="H99" s="270"/>
      <c r="I99" s="270"/>
      <c r="J99" s="270"/>
      <c r="K99" s="270"/>
      <c r="L99" s="270"/>
      <c r="M99" s="270"/>
      <c r="N99" s="270"/>
      <c r="O99" s="270"/>
      <c r="P99" s="270"/>
      <c r="Q99" s="270"/>
      <c r="R99" s="270"/>
      <c r="S99" s="270"/>
      <c r="T99" s="270"/>
      <c r="U99" s="270"/>
      <c r="V99" s="270"/>
      <c r="W99" s="270"/>
      <c r="X99" s="270"/>
      <c r="Y99" s="270"/>
      <c r="Z99" s="270"/>
    </row>
    <row r="100" spans="1:26" ht="15.75" customHeight="1">
      <c r="A100" s="270"/>
      <c r="B100" s="270"/>
      <c r="C100" s="270"/>
      <c r="D100" s="270"/>
      <c r="E100" s="270"/>
      <c r="F100" s="270"/>
      <c r="G100" s="270"/>
      <c r="H100" s="270"/>
      <c r="I100" s="270"/>
      <c r="J100" s="270"/>
      <c r="K100" s="270"/>
      <c r="L100" s="270"/>
      <c r="M100" s="270"/>
      <c r="N100" s="270"/>
      <c r="O100" s="270"/>
      <c r="P100" s="270"/>
      <c r="Q100" s="270"/>
      <c r="R100" s="270"/>
      <c r="S100" s="270"/>
      <c r="T100" s="270"/>
      <c r="U100" s="270"/>
      <c r="V100" s="270"/>
      <c r="W100" s="270"/>
      <c r="X100" s="270"/>
      <c r="Y100" s="270"/>
      <c r="Z100" s="270"/>
    </row>
    <row r="101" spans="1:26" ht="15.75" customHeight="1">
      <c r="A101" s="270"/>
      <c r="B101" s="270"/>
      <c r="C101" s="270"/>
      <c r="D101" s="270"/>
      <c r="E101" s="270"/>
      <c r="F101" s="270"/>
      <c r="G101" s="270"/>
      <c r="H101" s="270"/>
      <c r="I101" s="270"/>
      <c r="J101" s="270"/>
      <c r="K101" s="270"/>
      <c r="L101" s="270"/>
      <c r="M101" s="270"/>
      <c r="N101" s="270"/>
      <c r="O101" s="270"/>
      <c r="P101" s="270"/>
      <c r="Q101" s="270"/>
      <c r="R101" s="270"/>
      <c r="S101" s="270"/>
      <c r="T101" s="270"/>
      <c r="U101" s="270"/>
      <c r="V101" s="270"/>
      <c r="W101" s="270"/>
      <c r="X101" s="270"/>
      <c r="Y101" s="270"/>
      <c r="Z101" s="270"/>
    </row>
    <row r="102" spans="1:26" ht="15.75" customHeight="1">
      <c r="A102" s="270"/>
      <c r="B102" s="270"/>
      <c r="C102" s="270"/>
      <c r="D102" s="270"/>
      <c r="E102" s="270"/>
      <c r="F102" s="270"/>
      <c r="G102" s="270"/>
      <c r="H102" s="270"/>
      <c r="I102" s="270"/>
      <c r="J102" s="270"/>
      <c r="K102" s="270"/>
      <c r="L102" s="270"/>
      <c r="M102" s="270"/>
      <c r="N102" s="270"/>
      <c r="O102" s="270"/>
      <c r="P102" s="270"/>
      <c r="Q102" s="270"/>
      <c r="R102" s="270"/>
      <c r="S102" s="270"/>
      <c r="T102" s="270"/>
      <c r="U102" s="270"/>
      <c r="V102" s="270"/>
      <c r="W102" s="270"/>
      <c r="X102" s="270"/>
      <c r="Y102" s="270"/>
      <c r="Z102" s="270"/>
    </row>
    <row r="103" spans="1:26" ht="15.75" customHeight="1">
      <c r="A103" s="270"/>
      <c r="B103" s="270"/>
      <c r="C103" s="270"/>
      <c r="D103" s="270"/>
      <c r="E103" s="270"/>
      <c r="F103" s="270"/>
      <c r="G103" s="270"/>
      <c r="H103" s="270"/>
      <c r="I103" s="270"/>
      <c r="J103" s="270"/>
      <c r="K103" s="270"/>
      <c r="L103" s="270"/>
      <c r="M103" s="270"/>
      <c r="N103" s="270"/>
      <c r="O103" s="270"/>
      <c r="P103" s="270"/>
      <c r="Q103" s="270"/>
      <c r="R103" s="270"/>
      <c r="S103" s="270"/>
      <c r="T103" s="270"/>
      <c r="U103" s="270"/>
      <c r="V103" s="270"/>
      <c r="W103" s="270"/>
      <c r="X103" s="270"/>
      <c r="Y103" s="270"/>
      <c r="Z103" s="270"/>
    </row>
    <row r="104" spans="1:26" ht="15.75" customHeight="1">
      <c r="A104" s="270"/>
      <c r="B104" s="270"/>
      <c r="C104" s="270"/>
      <c r="D104" s="270"/>
      <c r="E104" s="270"/>
      <c r="F104" s="270"/>
      <c r="G104" s="270"/>
      <c r="H104" s="270"/>
      <c r="I104" s="270"/>
      <c r="J104" s="270"/>
      <c r="K104" s="270"/>
      <c r="L104" s="270"/>
      <c r="M104" s="270"/>
      <c r="N104" s="270"/>
      <c r="O104" s="270"/>
      <c r="P104" s="270"/>
      <c r="Q104" s="270"/>
      <c r="R104" s="270"/>
      <c r="S104" s="270"/>
      <c r="T104" s="270"/>
      <c r="U104" s="270"/>
      <c r="V104" s="270"/>
      <c r="W104" s="270"/>
      <c r="X104" s="270"/>
      <c r="Y104" s="270"/>
      <c r="Z104" s="270"/>
    </row>
    <row r="105" spans="1:26" ht="15.75" customHeight="1">
      <c r="A105" s="270"/>
      <c r="B105" s="270"/>
      <c r="C105" s="270"/>
      <c r="D105" s="270"/>
      <c r="E105" s="270"/>
      <c r="F105" s="270"/>
      <c r="G105" s="270"/>
      <c r="H105" s="270"/>
      <c r="I105" s="270"/>
      <c r="J105" s="270"/>
      <c r="K105" s="270"/>
      <c r="L105" s="270"/>
      <c r="M105" s="270"/>
      <c r="N105" s="270"/>
      <c r="O105" s="270"/>
      <c r="P105" s="270"/>
      <c r="Q105" s="270"/>
      <c r="R105" s="270"/>
      <c r="S105" s="270"/>
      <c r="T105" s="270"/>
      <c r="U105" s="270"/>
      <c r="V105" s="270"/>
      <c r="W105" s="270"/>
      <c r="X105" s="270"/>
      <c r="Y105" s="270"/>
      <c r="Z105" s="270"/>
    </row>
    <row r="106" spans="1:26" ht="15.75" customHeight="1">
      <c r="A106" s="270"/>
      <c r="B106" s="270"/>
      <c r="C106" s="270"/>
      <c r="D106" s="270"/>
      <c r="E106" s="270"/>
      <c r="F106" s="270"/>
      <c r="G106" s="270"/>
      <c r="H106" s="270"/>
      <c r="I106" s="270"/>
      <c r="J106" s="270"/>
      <c r="K106" s="270"/>
      <c r="L106" s="270"/>
      <c r="M106" s="270"/>
      <c r="N106" s="270"/>
      <c r="O106" s="270"/>
      <c r="P106" s="270"/>
      <c r="Q106" s="270"/>
      <c r="R106" s="270"/>
      <c r="S106" s="270"/>
      <c r="T106" s="270"/>
      <c r="U106" s="270"/>
      <c r="V106" s="270"/>
      <c r="W106" s="270"/>
      <c r="X106" s="270"/>
      <c r="Y106" s="270"/>
      <c r="Z106" s="270"/>
    </row>
    <row r="107" spans="1:26" ht="15.75" customHeight="1">
      <c r="A107" s="270"/>
      <c r="B107" s="270"/>
      <c r="C107" s="270"/>
      <c r="D107" s="270"/>
      <c r="E107" s="270"/>
      <c r="F107" s="270"/>
      <c r="G107" s="270"/>
      <c r="H107" s="270"/>
      <c r="I107" s="270"/>
      <c r="J107" s="270"/>
      <c r="K107" s="270"/>
      <c r="L107" s="270"/>
      <c r="M107" s="270"/>
      <c r="N107" s="270"/>
      <c r="O107" s="270"/>
      <c r="P107" s="270"/>
      <c r="Q107" s="270"/>
      <c r="R107" s="270"/>
      <c r="S107" s="270"/>
      <c r="T107" s="270"/>
      <c r="U107" s="270"/>
      <c r="V107" s="270"/>
      <c r="W107" s="270"/>
      <c r="X107" s="270"/>
      <c r="Y107" s="270"/>
      <c r="Z107" s="270"/>
    </row>
    <row r="108" spans="1:26" ht="15.75" customHeight="1">
      <c r="A108" s="270"/>
      <c r="B108" s="270"/>
      <c r="C108" s="270"/>
      <c r="D108" s="270"/>
      <c r="E108" s="270"/>
      <c r="F108" s="270"/>
      <c r="G108" s="270"/>
      <c r="H108" s="270"/>
      <c r="I108" s="270"/>
      <c r="J108" s="270"/>
      <c r="K108" s="270"/>
      <c r="L108" s="270"/>
      <c r="M108" s="270"/>
      <c r="N108" s="270"/>
      <c r="O108" s="270"/>
      <c r="P108" s="270"/>
      <c r="Q108" s="270"/>
      <c r="R108" s="270"/>
      <c r="S108" s="270"/>
      <c r="T108" s="270"/>
      <c r="U108" s="270"/>
      <c r="V108" s="270"/>
      <c r="W108" s="270"/>
      <c r="X108" s="270"/>
      <c r="Y108" s="270"/>
      <c r="Z108" s="270"/>
    </row>
    <row r="109" spans="1:26" ht="15.75" customHeight="1">
      <c r="A109" s="270"/>
      <c r="B109" s="270"/>
      <c r="C109" s="270"/>
      <c r="D109" s="270"/>
      <c r="E109" s="270"/>
      <c r="F109" s="270"/>
      <c r="G109" s="270"/>
      <c r="H109" s="270"/>
      <c r="I109" s="270"/>
      <c r="J109" s="270"/>
      <c r="K109" s="270"/>
      <c r="L109" s="270"/>
      <c r="M109" s="270"/>
      <c r="N109" s="270"/>
      <c r="O109" s="270"/>
      <c r="P109" s="270"/>
      <c r="Q109" s="270"/>
      <c r="R109" s="270"/>
      <c r="S109" s="270"/>
      <c r="T109" s="270"/>
      <c r="U109" s="270"/>
      <c r="V109" s="270"/>
      <c r="W109" s="270"/>
      <c r="X109" s="270"/>
      <c r="Y109" s="270"/>
      <c r="Z109" s="270"/>
    </row>
    <row r="110" spans="1:26" ht="15.75" customHeight="1">
      <c r="A110" s="270"/>
      <c r="B110" s="270"/>
      <c r="C110" s="270"/>
      <c r="D110" s="270"/>
      <c r="E110" s="270"/>
      <c r="F110" s="270"/>
      <c r="G110" s="270"/>
      <c r="H110" s="270"/>
      <c r="I110" s="270"/>
      <c r="J110" s="270"/>
      <c r="K110" s="270"/>
      <c r="L110" s="270"/>
      <c r="M110" s="270"/>
      <c r="N110" s="270"/>
      <c r="O110" s="270"/>
      <c r="P110" s="270"/>
      <c r="Q110" s="270"/>
      <c r="R110" s="270"/>
      <c r="S110" s="270"/>
      <c r="T110" s="270"/>
      <c r="U110" s="270"/>
      <c r="V110" s="270"/>
      <c r="W110" s="270"/>
      <c r="X110" s="270"/>
      <c r="Y110" s="270"/>
      <c r="Z110" s="270"/>
    </row>
    <row r="111" spans="1:26" ht="15.75" customHeight="1">
      <c r="A111" s="270"/>
      <c r="B111" s="270"/>
      <c r="C111" s="270"/>
      <c r="D111" s="270"/>
      <c r="E111" s="270"/>
      <c r="F111" s="270"/>
      <c r="G111" s="270"/>
      <c r="H111" s="270"/>
      <c r="I111" s="270"/>
      <c r="J111" s="270"/>
      <c r="K111" s="270"/>
      <c r="L111" s="270"/>
      <c r="M111" s="270"/>
      <c r="N111" s="270"/>
      <c r="O111" s="270"/>
      <c r="P111" s="270"/>
      <c r="Q111" s="270"/>
      <c r="R111" s="270"/>
      <c r="S111" s="270"/>
      <c r="T111" s="270"/>
      <c r="U111" s="270"/>
      <c r="V111" s="270"/>
      <c r="W111" s="270"/>
      <c r="X111" s="270"/>
      <c r="Y111" s="270"/>
      <c r="Z111" s="270"/>
    </row>
    <row r="112" spans="1:26" ht="15.75" customHeight="1">
      <c r="A112" s="270"/>
      <c r="B112" s="270"/>
      <c r="C112" s="270"/>
      <c r="D112" s="270"/>
      <c r="E112" s="270"/>
      <c r="F112" s="270"/>
      <c r="G112" s="270"/>
      <c r="H112" s="270"/>
      <c r="I112" s="270"/>
      <c r="J112" s="270"/>
      <c r="K112" s="270"/>
      <c r="L112" s="270"/>
      <c r="M112" s="270"/>
      <c r="N112" s="270"/>
      <c r="O112" s="270"/>
      <c r="P112" s="270"/>
      <c r="Q112" s="270"/>
      <c r="R112" s="270"/>
      <c r="S112" s="270"/>
      <c r="T112" s="270"/>
      <c r="U112" s="270"/>
      <c r="V112" s="270"/>
      <c r="W112" s="270"/>
      <c r="X112" s="270"/>
      <c r="Y112" s="270"/>
      <c r="Z112" s="270"/>
    </row>
    <row r="113" spans="1:26" ht="15.75" customHeight="1">
      <c r="A113" s="270"/>
      <c r="B113" s="270"/>
      <c r="C113" s="270"/>
      <c r="D113" s="270"/>
      <c r="E113" s="270"/>
      <c r="F113" s="270"/>
      <c r="G113" s="270"/>
      <c r="H113" s="270"/>
      <c r="I113" s="270"/>
      <c r="J113" s="270"/>
      <c r="K113" s="270"/>
      <c r="L113" s="270"/>
      <c r="M113" s="270"/>
      <c r="N113" s="270"/>
      <c r="O113" s="270"/>
      <c r="P113" s="270"/>
      <c r="Q113" s="270"/>
      <c r="R113" s="270"/>
      <c r="S113" s="270"/>
      <c r="T113" s="270"/>
      <c r="U113" s="270"/>
      <c r="V113" s="270"/>
      <c r="W113" s="270"/>
      <c r="X113" s="270"/>
      <c r="Y113" s="270"/>
      <c r="Z113" s="270"/>
    </row>
    <row r="114" spans="1:26" ht="15.75" customHeight="1">
      <c r="A114" s="270"/>
      <c r="B114" s="270"/>
      <c r="C114" s="270"/>
      <c r="D114" s="270"/>
      <c r="E114" s="270"/>
      <c r="F114" s="270"/>
      <c r="G114" s="270"/>
      <c r="H114" s="270"/>
      <c r="I114" s="270"/>
      <c r="J114" s="270"/>
      <c r="K114" s="270"/>
      <c r="L114" s="270"/>
      <c r="M114" s="270"/>
      <c r="N114" s="270"/>
      <c r="O114" s="270"/>
      <c r="P114" s="270"/>
      <c r="Q114" s="270"/>
      <c r="R114" s="270"/>
      <c r="S114" s="270"/>
      <c r="T114" s="270"/>
      <c r="U114" s="270"/>
      <c r="V114" s="270"/>
      <c r="W114" s="270"/>
      <c r="X114" s="270"/>
      <c r="Y114" s="270"/>
      <c r="Z114" s="270"/>
    </row>
    <row r="115" spans="1:26" ht="15.75" customHeight="1">
      <c r="A115" s="270"/>
      <c r="B115" s="270"/>
      <c r="C115" s="270"/>
      <c r="D115" s="270"/>
      <c r="E115" s="270"/>
      <c r="F115" s="270"/>
      <c r="G115" s="270"/>
      <c r="H115" s="270"/>
      <c r="I115" s="270"/>
      <c r="J115" s="270"/>
      <c r="K115" s="270"/>
      <c r="L115" s="270"/>
      <c r="M115" s="270"/>
      <c r="N115" s="270"/>
      <c r="O115" s="270"/>
      <c r="P115" s="270"/>
      <c r="Q115" s="270"/>
      <c r="R115" s="270"/>
      <c r="S115" s="270"/>
      <c r="T115" s="270"/>
      <c r="U115" s="270"/>
      <c r="V115" s="270"/>
      <c r="W115" s="270"/>
      <c r="X115" s="270"/>
      <c r="Y115" s="270"/>
      <c r="Z115" s="270"/>
    </row>
    <row r="116" spans="1:26" ht="15.75" customHeight="1">
      <c r="A116" s="270"/>
      <c r="B116" s="270"/>
      <c r="C116" s="270"/>
      <c r="D116" s="270"/>
      <c r="E116" s="270"/>
      <c r="F116" s="270"/>
      <c r="G116" s="270"/>
      <c r="H116" s="270"/>
      <c r="I116" s="270"/>
      <c r="J116" s="270"/>
      <c r="K116" s="270"/>
      <c r="L116" s="270"/>
      <c r="M116" s="270"/>
      <c r="N116" s="270"/>
      <c r="O116" s="270"/>
      <c r="P116" s="270"/>
      <c r="Q116" s="270"/>
      <c r="R116" s="270"/>
      <c r="S116" s="270"/>
      <c r="T116" s="270"/>
      <c r="U116" s="270"/>
      <c r="V116" s="270"/>
      <c r="W116" s="270"/>
      <c r="X116" s="270"/>
      <c r="Y116" s="270"/>
      <c r="Z116" s="270"/>
    </row>
    <row r="117" spans="1:26" ht="15.75" customHeight="1">
      <c r="A117" s="270"/>
      <c r="B117" s="270"/>
      <c r="C117" s="270"/>
      <c r="D117" s="270"/>
      <c r="E117" s="270"/>
      <c r="F117" s="270"/>
      <c r="G117" s="270"/>
      <c r="H117" s="270"/>
      <c r="I117" s="270"/>
      <c r="J117" s="270"/>
      <c r="K117" s="270"/>
      <c r="L117" s="270"/>
      <c r="M117" s="270"/>
      <c r="N117" s="270"/>
      <c r="O117" s="270"/>
      <c r="P117" s="270"/>
      <c r="Q117" s="270"/>
      <c r="R117" s="270"/>
      <c r="S117" s="270"/>
      <c r="T117" s="270"/>
      <c r="U117" s="270"/>
      <c r="V117" s="270"/>
      <c r="W117" s="270"/>
      <c r="X117" s="270"/>
      <c r="Y117" s="270"/>
      <c r="Z117" s="270"/>
    </row>
    <row r="118" spans="1:26" ht="15.75" customHeight="1">
      <c r="A118" s="270"/>
      <c r="B118" s="270"/>
      <c r="C118" s="270"/>
      <c r="D118" s="270"/>
      <c r="E118" s="270"/>
      <c r="F118" s="270"/>
      <c r="G118" s="270"/>
      <c r="H118" s="270"/>
      <c r="I118" s="270"/>
      <c r="J118" s="270"/>
      <c r="K118" s="270"/>
      <c r="L118" s="270"/>
      <c r="M118" s="270"/>
      <c r="N118" s="270"/>
      <c r="O118" s="270"/>
      <c r="P118" s="270"/>
      <c r="Q118" s="270"/>
      <c r="R118" s="270"/>
      <c r="S118" s="270"/>
      <c r="T118" s="270"/>
      <c r="U118" s="270"/>
      <c r="V118" s="270"/>
      <c r="W118" s="270"/>
      <c r="X118" s="270"/>
      <c r="Y118" s="270"/>
      <c r="Z118" s="270"/>
    </row>
    <row r="119" spans="1:26" ht="15.75" customHeight="1">
      <c r="A119" s="270"/>
      <c r="B119" s="270"/>
      <c r="C119" s="270"/>
      <c r="D119" s="270"/>
      <c r="E119" s="270"/>
      <c r="F119" s="270"/>
      <c r="G119" s="270"/>
      <c r="H119" s="270"/>
      <c r="I119" s="270"/>
      <c r="J119" s="270"/>
      <c r="K119" s="270"/>
      <c r="L119" s="270"/>
      <c r="M119" s="270"/>
      <c r="N119" s="270"/>
      <c r="O119" s="270"/>
      <c r="P119" s="270"/>
      <c r="Q119" s="270"/>
      <c r="R119" s="270"/>
      <c r="S119" s="270"/>
      <c r="T119" s="270"/>
      <c r="U119" s="270"/>
      <c r="V119" s="270"/>
      <c r="W119" s="270"/>
      <c r="X119" s="270"/>
      <c r="Y119" s="270"/>
      <c r="Z119" s="270"/>
    </row>
    <row r="120" spans="1:26" ht="15.75" customHeight="1">
      <c r="A120" s="270"/>
      <c r="B120" s="270"/>
      <c r="C120" s="270"/>
      <c r="D120" s="270"/>
      <c r="E120" s="270"/>
      <c r="F120" s="270"/>
      <c r="G120" s="270"/>
      <c r="H120" s="270"/>
      <c r="I120" s="270"/>
      <c r="J120" s="270"/>
      <c r="K120" s="270"/>
      <c r="L120" s="270"/>
      <c r="M120" s="270"/>
      <c r="N120" s="270"/>
      <c r="O120" s="270"/>
      <c r="P120" s="270"/>
      <c r="Q120" s="270"/>
      <c r="R120" s="270"/>
      <c r="S120" s="270"/>
      <c r="T120" s="270"/>
      <c r="U120" s="270"/>
      <c r="V120" s="270"/>
      <c r="W120" s="270"/>
      <c r="X120" s="270"/>
      <c r="Y120" s="270"/>
      <c r="Z120" s="270"/>
    </row>
    <row r="121" spans="1:26" ht="15.75" customHeight="1">
      <c r="A121" s="270"/>
      <c r="B121" s="270"/>
      <c r="C121" s="270"/>
      <c r="D121" s="270"/>
      <c r="E121" s="270"/>
      <c r="F121" s="270"/>
      <c r="G121" s="270"/>
      <c r="H121" s="270"/>
      <c r="I121" s="270"/>
      <c r="J121" s="270"/>
      <c r="K121" s="270"/>
      <c r="L121" s="270"/>
      <c r="M121" s="270"/>
      <c r="N121" s="270"/>
      <c r="O121" s="270"/>
      <c r="P121" s="270"/>
      <c r="Q121" s="270"/>
      <c r="R121" s="270"/>
      <c r="S121" s="270"/>
      <c r="T121" s="270"/>
      <c r="U121" s="270"/>
      <c r="V121" s="270"/>
      <c r="W121" s="270"/>
      <c r="X121" s="270"/>
      <c r="Y121" s="270"/>
      <c r="Z121" s="270"/>
    </row>
    <row r="122" spans="1:26" ht="15.75" customHeight="1">
      <c r="A122" s="270"/>
      <c r="B122" s="270"/>
      <c r="C122" s="270"/>
      <c r="D122" s="270"/>
      <c r="E122" s="270"/>
      <c r="F122" s="270"/>
      <c r="G122" s="270"/>
      <c r="H122" s="270"/>
      <c r="I122" s="270"/>
      <c r="J122" s="270"/>
      <c r="K122" s="270"/>
      <c r="L122" s="270"/>
      <c r="M122" s="270"/>
      <c r="N122" s="270"/>
      <c r="O122" s="270"/>
      <c r="P122" s="270"/>
      <c r="Q122" s="270"/>
      <c r="R122" s="270"/>
      <c r="S122" s="270"/>
      <c r="T122" s="270"/>
      <c r="U122" s="270"/>
      <c r="V122" s="270"/>
      <c r="W122" s="270"/>
      <c r="X122" s="270"/>
      <c r="Y122" s="270"/>
      <c r="Z122" s="270"/>
    </row>
    <row r="123" spans="1:26" ht="15.75" customHeight="1">
      <c r="A123" s="270"/>
      <c r="B123" s="270"/>
      <c r="C123" s="270"/>
      <c r="D123" s="270"/>
      <c r="E123" s="270"/>
      <c r="F123" s="270"/>
      <c r="G123" s="270"/>
      <c r="H123" s="270"/>
      <c r="I123" s="270"/>
      <c r="J123" s="270"/>
      <c r="K123" s="270"/>
      <c r="L123" s="270"/>
      <c r="M123" s="270"/>
      <c r="N123" s="270"/>
      <c r="O123" s="270"/>
      <c r="P123" s="270"/>
      <c r="Q123" s="270"/>
      <c r="R123" s="270"/>
      <c r="S123" s="270"/>
      <c r="T123" s="270"/>
      <c r="U123" s="270"/>
      <c r="V123" s="270"/>
      <c r="W123" s="270"/>
      <c r="X123" s="270"/>
      <c r="Y123" s="270"/>
      <c r="Z123" s="270"/>
    </row>
    <row r="124" spans="1:26" ht="15.75" customHeight="1">
      <c r="A124" s="270"/>
      <c r="B124" s="270"/>
      <c r="C124" s="270"/>
      <c r="D124" s="270"/>
      <c r="E124" s="270"/>
      <c r="F124" s="270"/>
      <c r="G124" s="270"/>
      <c r="H124" s="270"/>
      <c r="I124" s="270"/>
      <c r="J124" s="270"/>
      <c r="K124" s="270"/>
      <c r="L124" s="270"/>
      <c r="M124" s="270"/>
      <c r="N124" s="270"/>
      <c r="O124" s="270"/>
      <c r="P124" s="270"/>
      <c r="Q124" s="270"/>
      <c r="R124" s="270"/>
      <c r="S124" s="270"/>
      <c r="T124" s="270"/>
      <c r="U124" s="270"/>
      <c r="V124" s="270"/>
      <c r="W124" s="270"/>
      <c r="X124" s="270"/>
      <c r="Y124" s="270"/>
      <c r="Z124" s="270"/>
    </row>
    <row r="125" spans="1:26" ht="15.75" customHeight="1">
      <c r="A125" s="270"/>
      <c r="B125" s="270"/>
      <c r="C125" s="270"/>
      <c r="D125" s="270"/>
      <c r="E125" s="270"/>
      <c r="F125" s="270"/>
      <c r="G125" s="270"/>
      <c r="H125" s="270"/>
      <c r="I125" s="270"/>
      <c r="J125" s="270"/>
      <c r="K125" s="270"/>
      <c r="L125" s="270"/>
      <c r="M125" s="270"/>
      <c r="N125" s="270"/>
      <c r="O125" s="270"/>
      <c r="P125" s="270"/>
      <c r="Q125" s="270"/>
      <c r="R125" s="270"/>
      <c r="S125" s="270"/>
      <c r="T125" s="270"/>
      <c r="U125" s="270"/>
      <c r="V125" s="270"/>
      <c r="W125" s="270"/>
      <c r="X125" s="270"/>
      <c r="Y125" s="270"/>
      <c r="Z125" s="270"/>
    </row>
    <row r="126" spans="1:26" ht="15.75" customHeight="1">
      <c r="A126" s="270"/>
      <c r="B126" s="270"/>
      <c r="C126" s="270"/>
      <c r="D126" s="270"/>
      <c r="E126" s="270"/>
      <c r="F126" s="270"/>
      <c r="G126" s="270"/>
      <c r="H126" s="270"/>
      <c r="I126" s="270"/>
      <c r="J126" s="270"/>
      <c r="K126" s="270"/>
      <c r="L126" s="270"/>
      <c r="M126" s="270"/>
      <c r="N126" s="270"/>
      <c r="O126" s="270"/>
      <c r="P126" s="270"/>
      <c r="Q126" s="270"/>
      <c r="R126" s="270"/>
      <c r="S126" s="270"/>
      <c r="T126" s="270"/>
      <c r="U126" s="270"/>
      <c r="V126" s="270"/>
      <c r="W126" s="270"/>
      <c r="X126" s="270"/>
      <c r="Y126" s="270"/>
      <c r="Z126" s="270"/>
    </row>
    <row r="127" spans="1:26" ht="15.75" customHeight="1">
      <c r="A127" s="270"/>
      <c r="B127" s="270"/>
      <c r="C127" s="270"/>
      <c r="D127" s="270"/>
      <c r="E127" s="270"/>
      <c r="F127" s="270"/>
      <c r="G127" s="270"/>
      <c r="H127" s="270"/>
      <c r="I127" s="270"/>
      <c r="J127" s="270"/>
      <c r="K127" s="270"/>
      <c r="L127" s="270"/>
      <c r="M127" s="270"/>
      <c r="N127" s="270"/>
      <c r="O127" s="270"/>
      <c r="P127" s="270"/>
      <c r="Q127" s="270"/>
      <c r="R127" s="270"/>
      <c r="S127" s="270"/>
      <c r="T127" s="270"/>
      <c r="U127" s="270"/>
      <c r="V127" s="270"/>
      <c r="W127" s="270"/>
      <c r="X127" s="270"/>
      <c r="Y127" s="270"/>
      <c r="Z127" s="270"/>
    </row>
    <row r="128" spans="1:26" ht="15.75" customHeight="1">
      <c r="A128" s="270"/>
      <c r="B128" s="270"/>
      <c r="C128" s="270"/>
      <c r="D128" s="270"/>
      <c r="E128" s="270"/>
      <c r="F128" s="270"/>
      <c r="G128" s="270"/>
      <c r="H128" s="270"/>
      <c r="I128" s="270"/>
      <c r="J128" s="270"/>
      <c r="K128" s="270"/>
      <c r="L128" s="270"/>
      <c r="M128" s="270"/>
      <c r="N128" s="270"/>
      <c r="O128" s="270"/>
      <c r="P128" s="270"/>
      <c r="Q128" s="270"/>
      <c r="R128" s="270"/>
      <c r="S128" s="270"/>
      <c r="T128" s="270"/>
      <c r="U128" s="270"/>
      <c r="V128" s="270"/>
      <c r="W128" s="270"/>
      <c r="X128" s="270"/>
      <c r="Y128" s="270"/>
      <c r="Z128" s="270"/>
    </row>
    <row r="129" spans="1:26" ht="15.75" customHeight="1">
      <c r="A129" s="270"/>
      <c r="B129" s="270"/>
      <c r="C129" s="270"/>
      <c r="D129" s="270"/>
      <c r="E129" s="270"/>
      <c r="F129" s="270"/>
      <c r="G129" s="270"/>
      <c r="H129" s="270"/>
      <c r="I129" s="270"/>
      <c r="J129" s="270"/>
      <c r="K129" s="270"/>
      <c r="L129" s="270"/>
      <c r="M129" s="270"/>
      <c r="N129" s="270"/>
      <c r="O129" s="270"/>
      <c r="P129" s="270"/>
      <c r="Q129" s="270"/>
      <c r="R129" s="270"/>
      <c r="S129" s="270"/>
      <c r="T129" s="270"/>
      <c r="U129" s="270"/>
      <c r="V129" s="270"/>
      <c r="W129" s="270"/>
      <c r="X129" s="270"/>
      <c r="Y129" s="270"/>
      <c r="Z129" s="270"/>
    </row>
    <row r="130" spans="1:26" ht="15.75" customHeight="1">
      <c r="A130" s="270"/>
      <c r="B130" s="270"/>
      <c r="C130" s="270"/>
      <c r="D130" s="270"/>
      <c r="E130" s="270"/>
      <c r="F130" s="270"/>
      <c r="G130" s="270"/>
      <c r="H130" s="270"/>
      <c r="I130" s="270"/>
      <c r="J130" s="270"/>
      <c r="K130" s="270"/>
      <c r="L130" s="270"/>
      <c r="M130" s="270"/>
      <c r="N130" s="270"/>
      <c r="O130" s="270"/>
      <c r="P130" s="270"/>
      <c r="Q130" s="270"/>
      <c r="R130" s="270"/>
      <c r="S130" s="270"/>
      <c r="T130" s="270"/>
      <c r="U130" s="270"/>
      <c r="V130" s="270"/>
      <c r="W130" s="270"/>
      <c r="X130" s="270"/>
      <c r="Y130" s="270"/>
      <c r="Z130" s="270"/>
    </row>
    <row r="131" spans="1:26" ht="15.75" customHeight="1">
      <c r="A131" s="270"/>
      <c r="B131" s="270"/>
      <c r="C131" s="270"/>
      <c r="D131" s="270"/>
      <c r="E131" s="270"/>
      <c r="F131" s="270"/>
      <c r="G131" s="270"/>
      <c r="H131" s="270"/>
      <c r="I131" s="270"/>
      <c r="J131" s="270"/>
      <c r="K131" s="270"/>
      <c r="L131" s="270"/>
      <c r="M131" s="270"/>
      <c r="N131" s="270"/>
      <c r="O131" s="270"/>
      <c r="P131" s="270"/>
      <c r="Q131" s="270"/>
      <c r="R131" s="270"/>
      <c r="S131" s="270"/>
      <c r="T131" s="270"/>
      <c r="U131" s="270"/>
      <c r="V131" s="270"/>
      <c r="W131" s="270"/>
      <c r="X131" s="270"/>
      <c r="Y131" s="270"/>
      <c r="Z131" s="270"/>
    </row>
    <row r="132" spans="1:26" ht="15.75" customHeight="1">
      <c r="A132" s="270"/>
      <c r="B132" s="270"/>
      <c r="C132" s="270"/>
      <c r="D132" s="270"/>
      <c r="E132" s="270"/>
      <c r="F132" s="270"/>
      <c r="G132" s="270"/>
      <c r="H132" s="270"/>
      <c r="I132" s="270"/>
      <c r="J132" s="270"/>
      <c r="K132" s="270"/>
      <c r="L132" s="270"/>
      <c r="M132" s="270"/>
      <c r="N132" s="270"/>
      <c r="O132" s="270"/>
      <c r="P132" s="270"/>
      <c r="Q132" s="270"/>
      <c r="R132" s="270"/>
      <c r="S132" s="270"/>
      <c r="T132" s="270"/>
      <c r="U132" s="270"/>
      <c r="V132" s="270"/>
      <c r="W132" s="270"/>
      <c r="X132" s="270"/>
      <c r="Y132" s="270"/>
      <c r="Z132" s="270"/>
    </row>
    <row r="133" spans="1:26" ht="15.75" customHeight="1">
      <c r="A133" s="270"/>
      <c r="B133" s="270"/>
      <c r="C133" s="270"/>
      <c r="D133" s="270"/>
      <c r="E133" s="270"/>
      <c r="F133" s="270"/>
      <c r="G133" s="270"/>
      <c r="H133" s="270"/>
      <c r="I133" s="270"/>
      <c r="J133" s="270"/>
      <c r="K133" s="270"/>
      <c r="L133" s="270"/>
      <c r="M133" s="270"/>
      <c r="N133" s="270"/>
      <c r="O133" s="270"/>
      <c r="P133" s="270"/>
      <c r="Q133" s="270"/>
      <c r="R133" s="270"/>
      <c r="S133" s="270"/>
      <c r="T133" s="270"/>
      <c r="U133" s="270"/>
      <c r="V133" s="270"/>
      <c r="W133" s="270"/>
      <c r="X133" s="270"/>
      <c r="Y133" s="270"/>
      <c r="Z133" s="270"/>
    </row>
    <row r="134" spans="1:26" ht="15.75" customHeight="1">
      <c r="A134" s="270"/>
      <c r="B134" s="270"/>
      <c r="C134" s="270"/>
      <c r="D134" s="270"/>
      <c r="E134" s="270"/>
      <c r="F134" s="270"/>
      <c r="G134" s="270"/>
      <c r="H134" s="270"/>
      <c r="I134" s="270"/>
      <c r="J134" s="270"/>
      <c r="K134" s="270"/>
      <c r="L134" s="270"/>
      <c r="M134" s="270"/>
      <c r="N134" s="270"/>
      <c r="O134" s="270"/>
      <c r="P134" s="270"/>
      <c r="Q134" s="270"/>
      <c r="R134" s="270"/>
      <c r="S134" s="270"/>
      <c r="T134" s="270"/>
      <c r="U134" s="270"/>
      <c r="V134" s="270"/>
      <c r="W134" s="270"/>
      <c r="X134" s="270"/>
      <c r="Y134" s="270"/>
      <c r="Z134" s="270"/>
    </row>
    <row r="135" spans="1:26" ht="15.75" customHeight="1">
      <c r="A135" s="270"/>
      <c r="B135" s="270"/>
      <c r="C135" s="270"/>
      <c r="D135" s="270"/>
      <c r="E135" s="270"/>
      <c r="F135" s="270"/>
      <c r="G135" s="270"/>
      <c r="H135" s="270"/>
      <c r="I135" s="270"/>
      <c r="J135" s="270"/>
      <c r="K135" s="270"/>
      <c r="L135" s="270"/>
      <c r="M135" s="270"/>
      <c r="N135" s="270"/>
      <c r="O135" s="270"/>
      <c r="P135" s="270"/>
      <c r="Q135" s="270"/>
      <c r="R135" s="270"/>
      <c r="S135" s="270"/>
      <c r="T135" s="270"/>
      <c r="U135" s="270"/>
      <c r="V135" s="270"/>
      <c r="W135" s="270"/>
      <c r="X135" s="270"/>
      <c r="Y135" s="270"/>
      <c r="Z135" s="270"/>
    </row>
    <row r="136" spans="1:26" ht="15.75" customHeight="1">
      <c r="A136" s="270"/>
      <c r="B136" s="270"/>
      <c r="C136" s="270"/>
      <c r="D136" s="270"/>
      <c r="E136" s="270"/>
      <c r="F136" s="270"/>
      <c r="G136" s="270"/>
      <c r="H136" s="270"/>
      <c r="I136" s="270"/>
      <c r="J136" s="270"/>
      <c r="K136" s="270"/>
      <c r="L136" s="270"/>
      <c r="M136" s="270"/>
      <c r="N136" s="270"/>
      <c r="O136" s="270"/>
      <c r="P136" s="270"/>
      <c r="Q136" s="270"/>
      <c r="R136" s="270"/>
      <c r="S136" s="270"/>
      <c r="T136" s="270"/>
      <c r="U136" s="270"/>
      <c r="V136" s="270"/>
      <c r="W136" s="270"/>
      <c r="X136" s="270"/>
      <c r="Y136" s="270"/>
      <c r="Z136" s="270"/>
    </row>
    <row r="137" spans="1:26" ht="15.75" customHeight="1">
      <c r="A137" s="270"/>
      <c r="B137" s="270"/>
      <c r="C137" s="270"/>
      <c r="D137" s="270"/>
      <c r="E137" s="270"/>
      <c r="F137" s="270"/>
      <c r="G137" s="270"/>
      <c r="H137" s="270"/>
      <c r="I137" s="270"/>
      <c r="J137" s="270"/>
      <c r="K137" s="270"/>
      <c r="L137" s="270"/>
      <c r="M137" s="270"/>
      <c r="N137" s="270"/>
      <c r="O137" s="270"/>
      <c r="P137" s="270"/>
      <c r="Q137" s="270"/>
      <c r="R137" s="270"/>
      <c r="S137" s="270"/>
      <c r="T137" s="270"/>
      <c r="U137" s="270"/>
      <c r="V137" s="270"/>
      <c r="W137" s="270"/>
      <c r="X137" s="270"/>
      <c r="Y137" s="270"/>
      <c r="Z137" s="270"/>
    </row>
    <row r="138" spans="1:26" ht="15.75" customHeight="1">
      <c r="A138" s="270"/>
      <c r="B138" s="270"/>
      <c r="C138" s="270"/>
      <c r="D138" s="270"/>
      <c r="E138" s="270"/>
      <c r="F138" s="270"/>
      <c r="G138" s="270"/>
      <c r="H138" s="270"/>
      <c r="I138" s="270"/>
      <c r="J138" s="270"/>
      <c r="K138" s="270"/>
      <c r="L138" s="270"/>
      <c r="M138" s="270"/>
      <c r="N138" s="270"/>
      <c r="O138" s="270"/>
      <c r="P138" s="270"/>
      <c r="Q138" s="270"/>
      <c r="R138" s="270"/>
      <c r="S138" s="270"/>
      <c r="T138" s="270"/>
      <c r="U138" s="270"/>
      <c r="V138" s="270"/>
      <c r="W138" s="270"/>
      <c r="X138" s="270"/>
      <c r="Y138" s="270"/>
      <c r="Z138" s="270"/>
    </row>
    <row r="139" spans="1:26" ht="15.75" customHeight="1">
      <c r="A139" s="270"/>
      <c r="B139" s="270"/>
      <c r="C139" s="270"/>
      <c r="D139" s="270"/>
      <c r="E139" s="270"/>
      <c r="F139" s="270"/>
      <c r="G139" s="270"/>
      <c r="H139" s="270"/>
      <c r="I139" s="270"/>
      <c r="J139" s="270"/>
      <c r="K139" s="270"/>
      <c r="L139" s="270"/>
      <c r="M139" s="270"/>
      <c r="N139" s="270"/>
      <c r="O139" s="270"/>
      <c r="P139" s="270"/>
      <c r="Q139" s="270"/>
      <c r="R139" s="270"/>
      <c r="S139" s="270"/>
      <c r="T139" s="270"/>
      <c r="U139" s="270"/>
      <c r="V139" s="270"/>
      <c r="W139" s="270"/>
      <c r="X139" s="270"/>
      <c r="Y139" s="270"/>
      <c r="Z139" s="270"/>
    </row>
    <row r="140" spans="1:26" ht="15.75" customHeight="1">
      <c r="A140" s="270"/>
      <c r="B140" s="270"/>
      <c r="C140" s="270"/>
      <c r="D140" s="270"/>
      <c r="E140" s="270"/>
      <c r="F140" s="270"/>
      <c r="G140" s="270"/>
      <c r="H140" s="270"/>
      <c r="I140" s="270"/>
      <c r="J140" s="270"/>
      <c r="K140" s="270"/>
      <c r="L140" s="270"/>
      <c r="M140" s="270"/>
      <c r="N140" s="270"/>
      <c r="O140" s="270"/>
      <c r="P140" s="270"/>
      <c r="Q140" s="270"/>
      <c r="R140" s="270"/>
      <c r="S140" s="270"/>
      <c r="T140" s="270"/>
      <c r="U140" s="270"/>
      <c r="V140" s="270"/>
      <c r="W140" s="270"/>
      <c r="X140" s="270"/>
      <c r="Y140" s="270"/>
      <c r="Z140" s="270"/>
    </row>
    <row r="141" spans="1:26" ht="15.75" customHeight="1">
      <c r="A141" s="270"/>
      <c r="B141" s="270"/>
      <c r="C141" s="270"/>
      <c r="D141" s="270"/>
      <c r="E141" s="270"/>
      <c r="F141" s="270"/>
      <c r="G141" s="270"/>
      <c r="H141" s="270"/>
      <c r="I141" s="270"/>
      <c r="J141" s="270"/>
      <c r="K141" s="270"/>
      <c r="L141" s="270"/>
      <c r="M141" s="270"/>
      <c r="N141" s="270"/>
      <c r="O141" s="270"/>
      <c r="P141" s="270"/>
      <c r="Q141" s="270"/>
      <c r="R141" s="270"/>
      <c r="S141" s="270"/>
      <c r="T141" s="270"/>
      <c r="U141" s="270"/>
      <c r="V141" s="270"/>
      <c r="W141" s="270"/>
      <c r="X141" s="270"/>
      <c r="Y141" s="270"/>
      <c r="Z141" s="270"/>
    </row>
    <row r="142" spans="1:26" ht="15.75" customHeight="1">
      <c r="A142" s="270"/>
      <c r="B142" s="270"/>
      <c r="C142" s="270"/>
      <c r="D142" s="270"/>
      <c r="E142" s="270"/>
      <c r="F142" s="270"/>
      <c r="G142" s="270"/>
      <c r="H142" s="270"/>
      <c r="I142" s="270"/>
      <c r="J142" s="270"/>
      <c r="K142" s="270"/>
      <c r="L142" s="270"/>
      <c r="M142" s="270"/>
      <c r="N142" s="270"/>
      <c r="O142" s="270"/>
      <c r="P142" s="270"/>
      <c r="Q142" s="270"/>
      <c r="R142" s="270"/>
      <c r="S142" s="270"/>
      <c r="T142" s="270"/>
      <c r="U142" s="270"/>
      <c r="V142" s="270"/>
      <c r="W142" s="270"/>
      <c r="X142" s="270"/>
      <c r="Y142" s="270"/>
      <c r="Z142" s="270"/>
    </row>
    <row r="143" spans="1:26" ht="15.75" customHeight="1">
      <c r="A143" s="270"/>
      <c r="B143" s="270"/>
      <c r="C143" s="270"/>
      <c r="D143" s="270"/>
      <c r="E143" s="270"/>
      <c r="F143" s="270"/>
      <c r="G143" s="270"/>
      <c r="H143" s="270"/>
      <c r="I143" s="270"/>
      <c r="J143" s="270"/>
      <c r="K143" s="270"/>
      <c r="L143" s="270"/>
      <c r="M143" s="270"/>
      <c r="N143" s="270"/>
      <c r="O143" s="270"/>
      <c r="P143" s="270"/>
      <c r="Q143" s="270"/>
      <c r="R143" s="270"/>
      <c r="S143" s="270"/>
      <c r="T143" s="270"/>
      <c r="U143" s="270"/>
      <c r="V143" s="270"/>
      <c r="W143" s="270"/>
      <c r="X143" s="270"/>
      <c r="Y143" s="270"/>
      <c r="Z143" s="270"/>
    </row>
    <row r="144" spans="1:26" ht="15.75" customHeight="1">
      <c r="A144" s="270"/>
      <c r="B144" s="270"/>
      <c r="C144" s="270"/>
      <c r="D144" s="270"/>
      <c r="E144" s="270"/>
      <c r="F144" s="270"/>
      <c r="G144" s="270"/>
      <c r="H144" s="270"/>
      <c r="I144" s="270"/>
      <c r="J144" s="270"/>
      <c r="K144" s="270"/>
      <c r="L144" s="270"/>
      <c r="M144" s="270"/>
      <c r="N144" s="270"/>
      <c r="O144" s="270"/>
      <c r="P144" s="270"/>
      <c r="Q144" s="270"/>
      <c r="R144" s="270"/>
      <c r="S144" s="270"/>
      <c r="T144" s="270"/>
      <c r="U144" s="270"/>
      <c r="V144" s="270"/>
      <c r="W144" s="270"/>
      <c r="X144" s="270"/>
      <c r="Y144" s="270"/>
      <c r="Z144" s="270"/>
    </row>
    <row r="145" spans="1:26" ht="15.75" customHeight="1">
      <c r="A145" s="270"/>
      <c r="B145" s="270"/>
      <c r="C145" s="270"/>
      <c r="D145" s="270"/>
      <c r="E145" s="270"/>
      <c r="F145" s="270"/>
      <c r="G145" s="270"/>
      <c r="H145" s="270"/>
      <c r="I145" s="270"/>
      <c r="J145" s="270"/>
      <c r="K145" s="270"/>
      <c r="L145" s="270"/>
      <c r="M145" s="270"/>
      <c r="N145" s="270"/>
      <c r="O145" s="270"/>
      <c r="P145" s="270"/>
      <c r="Q145" s="270"/>
      <c r="R145" s="270"/>
      <c r="S145" s="270"/>
      <c r="T145" s="270"/>
      <c r="U145" s="270"/>
      <c r="V145" s="270"/>
      <c r="W145" s="270"/>
      <c r="X145" s="270"/>
      <c r="Y145" s="270"/>
      <c r="Z145" s="270"/>
    </row>
    <row r="146" spans="1:26" ht="15.75" customHeight="1">
      <c r="A146" s="270"/>
      <c r="B146" s="270"/>
      <c r="C146" s="270"/>
      <c r="D146" s="270"/>
      <c r="E146" s="270"/>
      <c r="F146" s="270"/>
      <c r="G146" s="270"/>
      <c r="H146" s="270"/>
      <c r="I146" s="270"/>
      <c r="J146" s="270"/>
      <c r="K146" s="270"/>
      <c r="L146" s="270"/>
      <c r="M146" s="270"/>
      <c r="N146" s="270"/>
      <c r="O146" s="270"/>
      <c r="P146" s="270"/>
      <c r="Q146" s="270"/>
      <c r="R146" s="270"/>
      <c r="S146" s="270"/>
      <c r="T146" s="270"/>
      <c r="U146" s="270"/>
      <c r="V146" s="270"/>
      <c r="W146" s="270"/>
      <c r="X146" s="270"/>
      <c r="Y146" s="270"/>
      <c r="Z146" s="270"/>
    </row>
    <row r="147" spans="1:26" ht="15.75" customHeight="1">
      <c r="A147" s="270"/>
      <c r="B147" s="270"/>
      <c r="C147" s="270"/>
      <c r="D147" s="270"/>
      <c r="E147" s="270"/>
      <c r="F147" s="270"/>
      <c r="G147" s="270"/>
      <c r="H147" s="270"/>
      <c r="I147" s="270"/>
      <c r="J147" s="270"/>
      <c r="K147" s="270"/>
      <c r="L147" s="270"/>
      <c r="M147" s="270"/>
      <c r="N147" s="270"/>
      <c r="O147" s="270"/>
      <c r="P147" s="270"/>
      <c r="Q147" s="270"/>
      <c r="R147" s="270"/>
      <c r="S147" s="270"/>
      <c r="T147" s="270"/>
      <c r="U147" s="270"/>
      <c r="V147" s="270"/>
      <c r="W147" s="270"/>
      <c r="X147" s="270"/>
      <c r="Y147" s="270"/>
      <c r="Z147" s="270"/>
    </row>
    <row r="148" spans="1:26" ht="15.75" customHeight="1">
      <c r="A148" s="270"/>
      <c r="B148" s="270"/>
      <c r="C148" s="270"/>
      <c r="D148" s="270"/>
      <c r="E148" s="270"/>
      <c r="F148" s="270"/>
      <c r="G148" s="270"/>
      <c r="H148" s="270"/>
      <c r="I148" s="270"/>
      <c r="J148" s="270"/>
      <c r="K148" s="270"/>
      <c r="L148" s="270"/>
      <c r="M148" s="270"/>
      <c r="N148" s="270"/>
      <c r="O148" s="270"/>
      <c r="P148" s="270"/>
      <c r="Q148" s="270"/>
      <c r="R148" s="270"/>
      <c r="S148" s="270"/>
      <c r="T148" s="270"/>
      <c r="U148" s="270"/>
      <c r="V148" s="270"/>
      <c r="W148" s="270"/>
      <c r="X148" s="270"/>
      <c r="Y148" s="270"/>
      <c r="Z148" s="270"/>
    </row>
    <row r="149" spans="1:26" ht="15.75" customHeight="1">
      <c r="A149" s="270"/>
      <c r="B149" s="270"/>
      <c r="C149" s="270"/>
      <c r="D149" s="270"/>
      <c r="E149" s="270"/>
      <c r="F149" s="270"/>
      <c r="G149" s="270"/>
      <c r="H149" s="270"/>
      <c r="I149" s="270"/>
      <c r="J149" s="270"/>
      <c r="K149" s="270"/>
      <c r="L149" s="270"/>
      <c r="M149" s="270"/>
      <c r="N149" s="270"/>
      <c r="O149" s="270"/>
      <c r="P149" s="270"/>
      <c r="Q149" s="270"/>
      <c r="R149" s="270"/>
      <c r="S149" s="270"/>
      <c r="T149" s="270"/>
      <c r="U149" s="270"/>
      <c r="V149" s="270"/>
      <c r="W149" s="270"/>
      <c r="X149" s="270"/>
      <c r="Y149" s="270"/>
      <c r="Z149" s="270"/>
    </row>
    <row r="150" spans="1:26" ht="15.75" customHeight="1">
      <c r="A150" s="270"/>
      <c r="B150" s="270"/>
      <c r="C150" s="270"/>
      <c r="D150" s="270"/>
      <c r="E150" s="270"/>
      <c r="F150" s="270"/>
      <c r="G150" s="270"/>
      <c r="H150" s="270"/>
      <c r="I150" s="270"/>
      <c r="J150" s="270"/>
      <c r="K150" s="270"/>
      <c r="L150" s="270"/>
      <c r="M150" s="270"/>
      <c r="N150" s="270"/>
      <c r="O150" s="270"/>
      <c r="P150" s="270"/>
      <c r="Q150" s="270"/>
      <c r="R150" s="270"/>
      <c r="S150" s="270"/>
      <c r="T150" s="270"/>
      <c r="U150" s="270"/>
      <c r="V150" s="270"/>
      <c r="W150" s="270"/>
      <c r="X150" s="270"/>
      <c r="Y150" s="270"/>
      <c r="Z150" s="270"/>
    </row>
    <row r="151" spans="1:26" ht="15.75" customHeight="1">
      <c r="A151" s="270"/>
      <c r="B151" s="270"/>
      <c r="C151" s="270"/>
      <c r="D151" s="270"/>
      <c r="E151" s="270"/>
      <c r="F151" s="270"/>
      <c r="G151" s="270"/>
      <c r="H151" s="270"/>
      <c r="I151" s="270"/>
      <c r="J151" s="270"/>
      <c r="K151" s="270"/>
      <c r="L151" s="270"/>
      <c r="M151" s="270"/>
      <c r="N151" s="270"/>
      <c r="O151" s="270"/>
      <c r="P151" s="270"/>
      <c r="Q151" s="270"/>
      <c r="R151" s="270"/>
      <c r="S151" s="270"/>
      <c r="T151" s="270"/>
      <c r="U151" s="270"/>
      <c r="V151" s="270"/>
      <c r="W151" s="270"/>
      <c r="X151" s="270"/>
      <c r="Y151" s="270"/>
      <c r="Z151" s="270"/>
    </row>
    <row r="152" spans="1:26" ht="15.75" customHeight="1">
      <c r="A152" s="270"/>
      <c r="B152" s="270"/>
      <c r="C152" s="270"/>
      <c r="D152" s="270"/>
      <c r="E152" s="270"/>
      <c r="F152" s="270"/>
      <c r="G152" s="270"/>
      <c r="H152" s="270"/>
      <c r="I152" s="270"/>
      <c r="J152" s="270"/>
      <c r="K152" s="270"/>
      <c r="L152" s="270"/>
      <c r="M152" s="270"/>
      <c r="N152" s="270"/>
      <c r="O152" s="270"/>
      <c r="P152" s="270"/>
      <c r="Q152" s="270"/>
      <c r="R152" s="270"/>
      <c r="S152" s="270"/>
      <c r="T152" s="270"/>
      <c r="U152" s="270"/>
      <c r="V152" s="270"/>
      <c r="W152" s="270"/>
      <c r="X152" s="270"/>
      <c r="Y152" s="270"/>
      <c r="Z152" s="270"/>
    </row>
    <row r="153" spans="1:26" ht="15.75" customHeight="1">
      <c r="A153" s="270"/>
      <c r="B153" s="270"/>
      <c r="C153" s="270"/>
      <c r="D153" s="270"/>
      <c r="E153" s="270"/>
      <c r="F153" s="270"/>
      <c r="G153" s="270"/>
      <c r="H153" s="270"/>
      <c r="I153" s="270"/>
      <c r="J153" s="270"/>
      <c r="K153" s="270"/>
      <c r="L153" s="270"/>
      <c r="M153" s="270"/>
      <c r="N153" s="270"/>
      <c r="O153" s="270"/>
      <c r="P153" s="270"/>
      <c r="Q153" s="270"/>
      <c r="R153" s="270"/>
      <c r="S153" s="270"/>
      <c r="T153" s="270"/>
      <c r="U153" s="270"/>
      <c r="V153" s="270"/>
      <c r="W153" s="270"/>
      <c r="X153" s="270"/>
      <c r="Y153" s="270"/>
      <c r="Z153" s="270"/>
    </row>
    <row r="154" spans="1:26" ht="15.75" customHeight="1">
      <c r="A154" s="270"/>
      <c r="B154" s="270"/>
      <c r="C154" s="270"/>
      <c r="D154" s="270"/>
      <c r="E154" s="270"/>
      <c r="F154" s="270"/>
      <c r="G154" s="270"/>
      <c r="H154" s="270"/>
      <c r="I154" s="270"/>
      <c r="J154" s="270"/>
      <c r="K154" s="270"/>
      <c r="L154" s="270"/>
      <c r="M154" s="270"/>
      <c r="N154" s="270"/>
      <c r="O154" s="270"/>
      <c r="P154" s="270"/>
      <c r="Q154" s="270"/>
      <c r="R154" s="270"/>
      <c r="S154" s="270"/>
      <c r="T154" s="270"/>
      <c r="U154" s="270"/>
      <c r="V154" s="270"/>
      <c r="W154" s="270"/>
      <c r="X154" s="270"/>
      <c r="Y154" s="270"/>
      <c r="Z154" s="270"/>
    </row>
    <row r="155" spans="1:26" ht="15.75" customHeight="1">
      <c r="A155" s="270"/>
      <c r="B155" s="270"/>
      <c r="C155" s="270"/>
      <c r="D155" s="270"/>
      <c r="E155" s="270"/>
      <c r="F155" s="270"/>
      <c r="G155" s="270"/>
      <c r="H155" s="270"/>
      <c r="I155" s="270"/>
      <c r="J155" s="270"/>
      <c r="K155" s="270"/>
      <c r="L155" s="270"/>
      <c r="M155" s="270"/>
      <c r="N155" s="270"/>
      <c r="O155" s="270"/>
      <c r="P155" s="270"/>
      <c r="Q155" s="270"/>
      <c r="R155" s="270"/>
      <c r="S155" s="270"/>
      <c r="T155" s="270"/>
      <c r="U155" s="270"/>
      <c r="V155" s="270"/>
      <c r="W155" s="270"/>
      <c r="X155" s="270"/>
      <c r="Y155" s="270"/>
      <c r="Z155" s="270"/>
    </row>
    <row r="156" spans="1:26" ht="15.75" customHeight="1">
      <c r="A156" s="270"/>
      <c r="B156" s="270"/>
      <c r="C156" s="270"/>
      <c r="D156" s="270"/>
      <c r="E156" s="270"/>
      <c r="F156" s="270"/>
      <c r="G156" s="270"/>
      <c r="H156" s="270"/>
      <c r="I156" s="270"/>
      <c r="J156" s="270"/>
      <c r="K156" s="270"/>
      <c r="L156" s="270"/>
      <c r="M156" s="270"/>
      <c r="N156" s="270"/>
      <c r="O156" s="270"/>
      <c r="P156" s="270"/>
      <c r="Q156" s="270"/>
      <c r="R156" s="270"/>
      <c r="S156" s="270"/>
      <c r="T156" s="270"/>
      <c r="U156" s="270"/>
      <c r="V156" s="270"/>
      <c r="W156" s="270"/>
      <c r="X156" s="270"/>
      <c r="Y156" s="270"/>
      <c r="Z156" s="270"/>
    </row>
    <row r="157" spans="1:26" ht="15.75" customHeight="1">
      <c r="A157" s="270"/>
      <c r="B157" s="270"/>
      <c r="C157" s="270"/>
      <c r="D157" s="270"/>
      <c r="E157" s="270"/>
      <c r="F157" s="270"/>
      <c r="G157" s="270"/>
      <c r="H157" s="270"/>
      <c r="I157" s="270"/>
      <c r="J157" s="270"/>
      <c r="K157" s="270"/>
      <c r="L157" s="270"/>
      <c r="M157" s="270"/>
      <c r="N157" s="270"/>
      <c r="O157" s="270"/>
      <c r="P157" s="270"/>
      <c r="Q157" s="270"/>
      <c r="R157" s="270"/>
      <c r="S157" s="270"/>
      <c r="T157" s="270"/>
      <c r="U157" s="270"/>
      <c r="V157" s="270"/>
      <c r="W157" s="270"/>
      <c r="X157" s="270"/>
      <c r="Y157" s="270"/>
      <c r="Z157" s="270"/>
    </row>
    <row r="158" spans="1:26" ht="15.75" customHeight="1">
      <c r="A158" s="270"/>
      <c r="B158" s="270"/>
      <c r="C158" s="270"/>
      <c r="D158" s="270"/>
      <c r="E158" s="270"/>
      <c r="F158" s="270"/>
      <c r="G158" s="270"/>
      <c r="H158" s="270"/>
      <c r="I158" s="270"/>
      <c r="J158" s="270"/>
      <c r="K158" s="270"/>
      <c r="L158" s="270"/>
      <c r="M158" s="270"/>
      <c r="N158" s="270"/>
      <c r="O158" s="270"/>
      <c r="P158" s="270"/>
      <c r="Q158" s="270"/>
      <c r="R158" s="270"/>
      <c r="S158" s="270"/>
      <c r="T158" s="270"/>
      <c r="U158" s="270"/>
      <c r="V158" s="270"/>
      <c r="W158" s="270"/>
      <c r="X158" s="270"/>
      <c r="Y158" s="270"/>
      <c r="Z158" s="270"/>
    </row>
    <row r="159" spans="1:26" ht="15.75" customHeight="1">
      <c r="A159" s="270"/>
      <c r="B159" s="270"/>
      <c r="C159" s="270"/>
      <c r="D159" s="270"/>
      <c r="E159" s="270"/>
      <c r="F159" s="270"/>
      <c r="G159" s="270"/>
      <c r="H159" s="270"/>
      <c r="I159" s="270"/>
      <c r="J159" s="270"/>
      <c r="K159" s="270"/>
      <c r="L159" s="270"/>
      <c r="M159" s="270"/>
      <c r="N159" s="270"/>
      <c r="O159" s="270"/>
      <c r="P159" s="270"/>
      <c r="Q159" s="270"/>
      <c r="R159" s="270"/>
      <c r="S159" s="270"/>
      <c r="T159" s="270"/>
      <c r="U159" s="270"/>
      <c r="V159" s="270"/>
      <c r="W159" s="270"/>
      <c r="X159" s="270"/>
      <c r="Y159" s="270"/>
      <c r="Z159" s="270"/>
    </row>
    <row r="160" spans="1:26" ht="15.75" customHeight="1">
      <c r="A160" s="270"/>
      <c r="B160" s="270"/>
      <c r="C160" s="270"/>
      <c r="D160" s="270"/>
      <c r="E160" s="270"/>
      <c r="F160" s="270"/>
      <c r="G160" s="270"/>
      <c r="H160" s="270"/>
      <c r="I160" s="270"/>
      <c r="J160" s="270"/>
      <c r="K160" s="270"/>
      <c r="L160" s="270"/>
      <c r="M160" s="270"/>
      <c r="N160" s="270"/>
      <c r="O160" s="270"/>
      <c r="P160" s="270"/>
      <c r="Q160" s="270"/>
      <c r="R160" s="270"/>
      <c r="S160" s="270"/>
      <c r="T160" s="270"/>
      <c r="U160" s="270"/>
      <c r="V160" s="270"/>
      <c r="W160" s="270"/>
      <c r="X160" s="270"/>
      <c r="Y160" s="270"/>
      <c r="Z160" s="270"/>
    </row>
    <row r="161" spans="1:26" ht="15.75" customHeight="1">
      <c r="A161" s="270"/>
      <c r="B161" s="270"/>
      <c r="C161" s="270"/>
      <c r="D161" s="270"/>
      <c r="E161" s="270"/>
      <c r="F161" s="270"/>
      <c r="G161" s="270"/>
      <c r="H161" s="270"/>
      <c r="I161" s="270"/>
      <c r="J161" s="270"/>
      <c r="K161" s="270"/>
      <c r="L161" s="270"/>
      <c r="M161" s="270"/>
      <c r="N161" s="270"/>
      <c r="O161" s="270"/>
      <c r="P161" s="270"/>
      <c r="Q161" s="270"/>
      <c r="R161" s="270"/>
      <c r="S161" s="270"/>
      <c r="T161" s="270"/>
      <c r="U161" s="270"/>
      <c r="V161" s="270"/>
      <c r="W161" s="270"/>
      <c r="X161" s="270"/>
      <c r="Y161" s="270"/>
      <c r="Z161" s="270"/>
    </row>
    <row r="162" spans="1:26" ht="15.75" customHeight="1">
      <c r="A162" s="270"/>
      <c r="B162" s="270"/>
      <c r="C162" s="270"/>
      <c r="D162" s="270"/>
      <c r="E162" s="270"/>
      <c r="F162" s="270"/>
      <c r="G162" s="270"/>
      <c r="H162" s="270"/>
      <c r="I162" s="270"/>
      <c r="J162" s="270"/>
      <c r="K162" s="270"/>
      <c r="L162" s="270"/>
      <c r="M162" s="270"/>
      <c r="N162" s="270"/>
      <c r="O162" s="270"/>
      <c r="P162" s="270"/>
      <c r="Q162" s="270"/>
      <c r="R162" s="270"/>
      <c r="S162" s="270"/>
      <c r="T162" s="270"/>
      <c r="U162" s="270"/>
      <c r="V162" s="270"/>
      <c r="W162" s="270"/>
      <c r="X162" s="270"/>
      <c r="Y162" s="270"/>
      <c r="Z162" s="270"/>
    </row>
    <row r="163" spans="1:26" ht="15.75" customHeight="1">
      <c r="A163" s="270"/>
      <c r="B163" s="270"/>
      <c r="C163" s="270"/>
      <c r="D163" s="270"/>
      <c r="E163" s="270"/>
      <c r="F163" s="270"/>
      <c r="G163" s="270"/>
      <c r="H163" s="270"/>
      <c r="I163" s="270"/>
      <c r="J163" s="270"/>
      <c r="K163" s="270"/>
      <c r="L163" s="270"/>
      <c r="M163" s="270"/>
      <c r="N163" s="270"/>
      <c r="O163" s="270"/>
      <c r="P163" s="270"/>
      <c r="Q163" s="270"/>
      <c r="R163" s="270"/>
      <c r="S163" s="270"/>
      <c r="T163" s="270"/>
      <c r="U163" s="270"/>
      <c r="V163" s="270"/>
      <c r="W163" s="270"/>
      <c r="X163" s="270"/>
      <c r="Y163" s="270"/>
      <c r="Z163" s="270"/>
    </row>
    <row r="164" spans="1:26" ht="15.75" customHeight="1">
      <c r="A164" s="270"/>
      <c r="B164" s="270"/>
      <c r="C164" s="270"/>
      <c r="D164" s="270"/>
      <c r="E164" s="270"/>
      <c r="F164" s="270"/>
      <c r="G164" s="270"/>
      <c r="H164" s="270"/>
      <c r="I164" s="270"/>
      <c r="J164" s="270"/>
      <c r="K164" s="270"/>
      <c r="L164" s="270"/>
      <c r="M164" s="270"/>
      <c r="N164" s="270"/>
      <c r="O164" s="270"/>
      <c r="P164" s="270"/>
      <c r="Q164" s="270"/>
      <c r="R164" s="270"/>
      <c r="S164" s="270"/>
      <c r="T164" s="270"/>
      <c r="U164" s="270"/>
      <c r="V164" s="270"/>
      <c r="W164" s="270"/>
      <c r="X164" s="270"/>
      <c r="Y164" s="270"/>
      <c r="Z164" s="270"/>
    </row>
    <row r="165" spans="1:26" ht="15.75" customHeight="1">
      <c r="A165" s="270"/>
      <c r="B165" s="270"/>
      <c r="C165" s="270"/>
      <c r="D165" s="270"/>
      <c r="E165" s="270"/>
      <c r="F165" s="270"/>
      <c r="G165" s="270"/>
      <c r="H165" s="270"/>
      <c r="I165" s="270"/>
      <c r="J165" s="270"/>
      <c r="K165" s="270"/>
      <c r="L165" s="270"/>
      <c r="M165" s="270"/>
      <c r="N165" s="270"/>
      <c r="O165" s="270"/>
      <c r="P165" s="270"/>
      <c r="Q165" s="270"/>
      <c r="R165" s="270"/>
      <c r="S165" s="270"/>
      <c r="T165" s="270"/>
      <c r="U165" s="270"/>
      <c r="V165" s="270"/>
      <c r="W165" s="270"/>
      <c r="X165" s="270"/>
      <c r="Y165" s="270"/>
      <c r="Z165" s="270"/>
    </row>
    <row r="166" spans="1:26" ht="15.75" customHeight="1">
      <c r="A166" s="270"/>
      <c r="B166" s="270"/>
      <c r="C166" s="270"/>
      <c r="D166" s="270"/>
      <c r="E166" s="270"/>
      <c r="F166" s="270"/>
      <c r="G166" s="270"/>
      <c r="H166" s="270"/>
      <c r="I166" s="270"/>
      <c r="J166" s="270"/>
      <c r="K166" s="270"/>
      <c r="L166" s="270"/>
      <c r="M166" s="270"/>
      <c r="N166" s="270"/>
      <c r="O166" s="270"/>
      <c r="P166" s="270"/>
      <c r="Q166" s="270"/>
      <c r="R166" s="270"/>
      <c r="S166" s="270"/>
      <c r="T166" s="270"/>
      <c r="U166" s="270"/>
      <c r="V166" s="270"/>
      <c r="W166" s="270"/>
      <c r="X166" s="270"/>
      <c r="Y166" s="270"/>
      <c r="Z166" s="270"/>
    </row>
    <row r="167" spans="1:26" ht="15.75" customHeight="1">
      <c r="A167" s="270"/>
      <c r="B167" s="270"/>
      <c r="C167" s="270"/>
      <c r="D167" s="270"/>
      <c r="E167" s="270"/>
      <c r="F167" s="270"/>
      <c r="G167" s="270"/>
      <c r="H167" s="270"/>
      <c r="I167" s="270"/>
      <c r="J167" s="270"/>
      <c r="K167" s="270"/>
      <c r="L167" s="270"/>
      <c r="M167" s="270"/>
      <c r="N167" s="270"/>
      <c r="O167" s="270"/>
      <c r="P167" s="270"/>
      <c r="Q167" s="270"/>
      <c r="R167" s="270"/>
      <c r="S167" s="270"/>
      <c r="T167" s="270"/>
      <c r="U167" s="270"/>
      <c r="V167" s="270"/>
      <c r="W167" s="270"/>
      <c r="X167" s="270"/>
      <c r="Y167" s="270"/>
      <c r="Z167" s="270"/>
    </row>
    <row r="168" spans="1:26" ht="15.75" customHeight="1">
      <c r="A168" s="270"/>
      <c r="B168" s="270"/>
      <c r="C168" s="270"/>
      <c r="D168" s="270"/>
      <c r="E168" s="270"/>
      <c r="F168" s="270"/>
      <c r="G168" s="270"/>
      <c r="H168" s="270"/>
      <c r="I168" s="270"/>
      <c r="J168" s="270"/>
      <c r="K168" s="270"/>
      <c r="L168" s="270"/>
      <c r="M168" s="270"/>
      <c r="N168" s="270"/>
      <c r="O168" s="270"/>
      <c r="P168" s="270"/>
      <c r="Q168" s="270"/>
      <c r="R168" s="270"/>
      <c r="S168" s="270"/>
      <c r="T168" s="270"/>
      <c r="U168" s="270"/>
      <c r="V168" s="270"/>
      <c r="W168" s="270"/>
      <c r="X168" s="270"/>
      <c r="Y168" s="270"/>
      <c r="Z168" s="270"/>
    </row>
    <row r="169" spans="1:26" ht="15.75" customHeight="1">
      <c r="A169" s="270"/>
      <c r="B169" s="270"/>
      <c r="C169" s="270"/>
      <c r="D169" s="270"/>
      <c r="E169" s="270"/>
      <c r="F169" s="270"/>
      <c r="G169" s="270"/>
      <c r="H169" s="270"/>
      <c r="I169" s="270"/>
      <c r="J169" s="270"/>
      <c r="K169" s="270"/>
      <c r="L169" s="270"/>
      <c r="M169" s="270"/>
      <c r="N169" s="270"/>
      <c r="O169" s="270"/>
      <c r="P169" s="270"/>
      <c r="Q169" s="270"/>
      <c r="R169" s="270"/>
      <c r="S169" s="270"/>
      <c r="T169" s="270"/>
      <c r="U169" s="270"/>
      <c r="V169" s="270"/>
      <c r="W169" s="270"/>
      <c r="X169" s="270"/>
      <c r="Y169" s="270"/>
      <c r="Z169" s="270"/>
    </row>
    <row r="170" spans="1:26" ht="15.75" customHeight="1">
      <c r="A170" s="270"/>
      <c r="B170" s="270"/>
      <c r="C170" s="270"/>
      <c r="D170" s="270"/>
      <c r="E170" s="270"/>
      <c r="F170" s="270"/>
      <c r="G170" s="270"/>
      <c r="H170" s="270"/>
      <c r="I170" s="270"/>
      <c r="J170" s="270"/>
      <c r="K170" s="270"/>
      <c r="L170" s="270"/>
      <c r="M170" s="270"/>
      <c r="N170" s="270"/>
      <c r="O170" s="270"/>
      <c r="P170" s="270"/>
      <c r="Q170" s="270"/>
      <c r="R170" s="270"/>
      <c r="S170" s="270"/>
      <c r="T170" s="270"/>
      <c r="U170" s="270"/>
      <c r="V170" s="270"/>
      <c r="W170" s="270"/>
      <c r="X170" s="270"/>
      <c r="Y170" s="270"/>
      <c r="Z170" s="270"/>
    </row>
    <row r="171" spans="1:26" ht="15.75" customHeight="1">
      <c r="A171" s="270"/>
      <c r="B171" s="270"/>
      <c r="C171" s="270"/>
      <c r="D171" s="270"/>
      <c r="E171" s="270"/>
      <c r="F171" s="270"/>
      <c r="G171" s="270"/>
      <c r="H171" s="270"/>
      <c r="I171" s="270"/>
      <c r="J171" s="270"/>
      <c r="K171" s="270"/>
      <c r="L171" s="270"/>
      <c r="M171" s="270"/>
      <c r="N171" s="270"/>
      <c r="O171" s="270"/>
      <c r="P171" s="270"/>
      <c r="Q171" s="270"/>
      <c r="R171" s="270"/>
      <c r="S171" s="270"/>
      <c r="T171" s="270"/>
      <c r="U171" s="270"/>
      <c r="V171" s="270"/>
      <c r="W171" s="270"/>
      <c r="X171" s="270"/>
      <c r="Y171" s="270"/>
      <c r="Z171" s="270"/>
    </row>
    <row r="172" spans="1:26" ht="15.75" customHeight="1">
      <c r="A172" s="270"/>
      <c r="B172" s="270"/>
      <c r="C172" s="270"/>
      <c r="D172" s="270"/>
      <c r="E172" s="270"/>
      <c r="F172" s="270"/>
      <c r="G172" s="270"/>
      <c r="H172" s="270"/>
      <c r="I172" s="270"/>
      <c r="J172" s="270"/>
      <c r="K172" s="270"/>
      <c r="L172" s="270"/>
      <c r="M172" s="270"/>
      <c r="N172" s="270"/>
      <c r="O172" s="270"/>
      <c r="P172" s="270"/>
      <c r="Q172" s="270"/>
      <c r="R172" s="270"/>
      <c r="S172" s="270"/>
      <c r="T172" s="270"/>
      <c r="U172" s="270"/>
      <c r="V172" s="270"/>
      <c r="W172" s="270"/>
      <c r="X172" s="270"/>
      <c r="Y172" s="270"/>
      <c r="Z172" s="270"/>
    </row>
    <row r="173" spans="1:26" ht="15.75" customHeight="1">
      <c r="A173" s="270"/>
      <c r="B173" s="270"/>
      <c r="C173" s="270"/>
      <c r="D173" s="270"/>
      <c r="E173" s="270"/>
      <c r="F173" s="270"/>
      <c r="G173" s="270"/>
      <c r="H173" s="270"/>
      <c r="I173" s="270"/>
      <c r="J173" s="270"/>
      <c r="K173" s="270"/>
      <c r="L173" s="270"/>
      <c r="M173" s="270"/>
      <c r="N173" s="270"/>
      <c r="O173" s="270"/>
      <c r="P173" s="270"/>
      <c r="Q173" s="270"/>
      <c r="R173" s="270"/>
      <c r="S173" s="270"/>
      <c r="T173" s="270"/>
      <c r="U173" s="270"/>
      <c r="V173" s="270"/>
      <c r="W173" s="270"/>
      <c r="X173" s="270"/>
      <c r="Y173" s="270"/>
      <c r="Z173" s="270"/>
    </row>
    <row r="174" spans="1:26" ht="15.75" customHeight="1">
      <c r="A174" s="270"/>
      <c r="B174" s="270"/>
      <c r="C174" s="270"/>
      <c r="D174" s="270"/>
      <c r="E174" s="270"/>
      <c r="F174" s="270"/>
      <c r="G174" s="270"/>
      <c r="H174" s="270"/>
      <c r="I174" s="270"/>
      <c r="J174" s="270"/>
      <c r="K174" s="270"/>
      <c r="L174" s="270"/>
      <c r="M174" s="270"/>
      <c r="N174" s="270"/>
      <c r="O174" s="270"/>
      <c r="P174" s="270"/>
      <c r="Q174" s="270"/>
      <c r="R174" s="270"/>
      <c r="S174" s="270"/>
      <c r="T174" s="270"/>
      <c r="U174" s="270"/>
      <c r="V174" s="270"/>
      <c r="W174" s="270"/>
      <c r="X174" s="270"/>
      <c r="Y174" s="270"/>
      <c r="Z174" s="270"/>
    </row>
    <row r="175" spans="1:26" ht="15.75" customHeight="1">
      <c r="A175" s="270"/>
      <c r="B175" s="270"/>
      <c r="C175" s="270"/>
      <c r="D175" s="270"/>
      <c r="E175" s="270"/>
      <c r="F175" s="270"/>
      <c r="G175" s="270"/>
      <c r="H175" s="270"/>
      <c r="I175" s="270"/>
      <c r="J175" s="270"/>
      <c r="K175" s="270"/>
      <c r="L175" s="270"/>
      <c r="M175" s="270"/>
      <c r="N175" s="270"/>
      <c r="O175" s="270"/>
      <c r="P175" s="270"/>
      <c r="Q175" s="270"/>
      <c r="R175" s="270"/>
      <c r="S175" s="270"/>
      <c r="T175" s="270"/>
      <c r="U175" s="270"/>
      <c r="V175" s="270"/>
      <c r="W175" s="270"/>
      <c r="X175" s="270"/>
      <c r="Y175" s="270"/>
      <c r="Z175" s="270"/>
    </row>
    <row r="176" spans="1:26" ht="15.75" customHeight="1">
      <c r="A176" s="270"/>
      <c r="B176" s="270"/>
      <c r="C176" s="270"/>
      <c r="D176" s="270"/>
      <c r="E176" s="270"/>
      <c r="F176" s="270"/>
      <c r="G176" s="270"/>
      <c r="H176" s="270"/>
      <c r="I176" s="270"/>
      <c r="J176" s="270"/>
      <c r="K176" s="270"/>
      <c r="L176" s="270"/>
      <c r="M176" s="270"/>
      <c r="N176" s="270"/>
      <c r="O176" s="270"/>
      <c r="P176" s="270"/>
      <c r="Q176" s="270"/>
      <c r="R176" s="270"/>
      <c r="S176" s="270"/>
      <c r="T176" s="270"/>
      <c r="U176" s="270"/>
      <c r="V176" s="270"/>
      <c r="W176" s="270"/>
      <c r="X176" s="270"/>
      <c r="Y176" s="270"/>
      <c r="Z176" s="270"/>
    </row>
    <row r="177" spans="1:26" ht="15.75" customHeight="1">
      <c r="A177" s="270"/>
      <c r="B177" s="270"/>
      <c r="C177" s="270"/>
      <c r="D177" s="270"/>
      <c r="E177" s="270"/>
      <c r="F177" s="270"/>
      <c r="G177" s="270"/>
      <c r="H177" s="270"/>
      <c r="I177" s="270"/>
      <c r="J177" s="270"/>
      <c r="K177" s="270"/>
      <c r="L177" s="270"/>
      <c r="M177" s="270"/>
      <c r="N177" s="270"/>
      <c r="O177" s="270"/>
      <c r="P177" s="270"/>
      <c r="Q177" s="270"/>
      <c r="R177" s="270"/>
      <c r="S177" s="270"/>
      <c r="T177" s="270"/>
      <c r="U177" s="270"/>
      <c r="V177" s="270"/>
      <c r="W177" s="270"/>
      <c r="X177" s="270"/>
      <c r="Y177" s="270"/>
      <c r="Z177" s="270"/>
    </row>
    <row r="178" spans="1:26" ht="15.75" customHeight="1">
      <c r="A178" s="270"/>
      <c r="B178" s="270"/>
      <c r="C178" s="270"/>
      <c r="D178" s="270"/>
      <c r="E178" s="270"/>
      <c r="F178" s="270"/>
      <c r="G178" s="270"/>
      <c r="H178" s="270"/>
      <c r="I178" s="270"/>
      <c r="J178" s="270"/>
      <c r="K178" s="270"/>
      <c r="L178" s="270"/>
      <c r="M178" s="270"/>
      <c r="N178" s="270"/>
      <c r="O178" s="270"/>
      <c r="P178" s="270"/>
      <c r="Q178" s="270"/>
      <c r="R178" s="270"/>
      <c r="S178" s="270"/>
      <c r="T178" s="270"/>
      <c r="U178" s="270"/>
      <c r="V178" s="270"/>
      <c r="W178" s="270"/>
      <c r="X178" s="270"/>
      <c r="Y178" s="270"/>
      <c r="Z178" s="270"/>
    </row>
    <row r="179" spans="1:26" ht="15.75" customHeight="1">
      <c r="A179" s="270"/>
      <c r="B179" s="270"/>
      <c r="C179" s="270"/>
      <c r="D179" s="270"/>
      <c r="E179" s="270"/>
      <c r="F179" s="270"/>
      <c r="G179" s="270"/>
      <c r="H179" s="270"/>
      <c r="I179" s="270"/>
      <c r="J179" s="270"/>
      <c r="K179" s="270"/>
      <c r="L179" s="270"/>
      <c r="M179" s="270"/>
      <c r="N179" s="270"/>
      <c r="O179" s="270"/>
      <c r="P179" s="270"/>
      <c r="Q179" s="270"/>
      <c r="R179" s="270"/>
      <c r="S179" s="270"/>
      <c r="T179" s="270"/>
      <c r="U179" s="270"/>
      <c r="V179" s="270"/>
      <c r="W179" s="270"/>
      <c r="X179" s="270"/>
      <c r="Y179" s="270"/>
      <c r="Z179" s="270"/>
    </row>
    <row r="180" spans="1:26" ht="15.75" customHeight="1">
      <c r="A180" s="270"/>
      <c r="B180" s="270"/>
      <c r="C180" s="270"/>
      <c r="D180" s="270"/>
      <c r="E180" s="270"/>
      <c r="F180" s="270"/>
      <c r="G180" s="270"/>
      <c r="H180" s="270"/>
      <c r="I180" s="270"/>
      <c r="J180" s="270"/>
      <c r="K180" s="270"/>
      <c r="L180" s="270"/>
      <c r="M180" s="270"/>
      <c r="N180" s="270"/>
      <c r="O180" s="270"/>
      <c r="P180" s="270"/>
      <c r="Q180" s="270"/>
      <c r="R180" s="270"/>
      <c r="S180" s="270"/>
      <c r="T180" s="270"/>
      <c r="U180" s="270"/>
      <c r="V180" s="270"/>
      <c r="W180" s="270"/>
      <c r="X180" s="270"/>
      <c r="Y180" s="270"/>
      <c r="Z180" s="270"/>
    </row>
    <row r="181" spans="1:26" ht="15.75" customHeight="1">
      <c r="A181" s="270"/>
      <c r="B181" s="270"/>
      <c r="C181" s="270"/>
      <c r="D181" s="270"/>
      <c r="E181" s="270"/>
      <c r="F181" s="270"/>
      <c r="G181" s="270"/>
      <c r="H181" s="270"/>
      <c r="I181" s="270"/>
      <c r="J181" s="270"/>
      <c r="K181" s="270"/>
      <c r="L181" s="270"/>
      <c r="M181" s="270"/>
      <c r="N181" s="270"/>
      <c r="O181" s="270"/>
      <c r="P181" s="270"/>
      <c r="Q181" s="270"/>
      <c r="R181" s="270"/>
      <c r="S181" s="270"/>
      <c r="T181" s="270"/>
      <c r="U181" s="270"/>
      <c r="V181" s="270"/>
      <c r="W181" s="270"/>
      <c r="X181" s="270"/>
      <c r="Y181" s="270"/>
      <c r="Z181" s="270"/>
    </row>
    <row r="182" spans="1:26" ht="15.75" customHeight="1">
      <c r="A182" s="270"/>
      <c r="B182" s="270"/>
      <c r="C182" s="270"/>
      <c r="D182" s="270"/>
      <c r="E182" s="270"/>
      <c r="F182" s="270"/>
      <c r="G182" s="270"/>
      <c r="H182" s="270"/>
      <c r="I182" s="270"/>
      <c r="J182" s="270"/>
      <c r="K182" s="270"/>
      <c r="L182" s="270"/>
      <c r="M182" s="270"/>
      <c r="N182" s="270"/>
      <c r="O182" s="270"/>
      <c r="P182" s="270"/>
      <c r="Q182" s="270"/>
      <c r="R182" s="270"/>
      <c r="S182" s="270"/>
      <c r="T182" s="270"/>
      <c r="U182" s="270"/>
      <c r="V182" s="270"/>
      <c r="W182" s="270"/>
      <c r="X182" s="270"/>
      <c r="Y182" s="270"/>
      <c r="Z182" s="270"/>
    </row>
    <row r="183" spans="1:26" ht="15.75" customHeight="1">
      <c r="A183" s="270"/>
      <c r="B183" s="270"/>
      <c r="C183" s="270"/>
      <c r="D183" s="270"/>
      <c r="E183" s="270"/>
      <c r="F183" s="270"/>
      <c r="G183" s="270"/>
      <c r="H183" s="270"/>
      <c r="I183" s="270"/>
      <c r="J183" s="270"/>
      <c r="K183" s="270"/>
      <c r="L183" s="270"/>
      <c r="M183" s="270"/>
      <c r="N183" s="270"/>
      <c r="O183" s="270"/>
      <c r="P183" s="270"/>
      <c r="Q183" s="270"/>
      <c r="R183" s="270"/>
      <c r="S183" s="270"/>
      <c r="T183" s="270"/>
      <c r="U183" s="270"/>
      <c r="V183" s="270"/>
      <c r="W183" s="270"/>
      <c r="X183" s="270"/>
      <c r="Y183" s="270"/>
      <c r="Z183" s="270"/>
    </row>
    <row r="184" spans="1:26" ht="15.75" customHeight="1">
      <c r="A184" s="270"/>
      <c r="B184" s="270"/>
      <c r="C184" s="270"/>
      <c r="D184" s="270"/>
      <c r="E184" s="270"/>
      <c r="F184" s="270"/>
      <c r="G184" s="270"/>
      <c r="H184" s="270"/>
      <c r="I184" s="270"/>
      <c r="J184" s="270"/>
      <c r="K184" s="270"/>
      <c r="L184" s="270"/>
      <c r="M184" s="270"/>
      <c r="N184" s="270"/>
      <c r="O184" s="270"/>
      <c r="P184" s="270"/>
      <c r="Q184" s="270"/>
      <c r="R184" s="270"/>
      <c r="S184" s="270"/>
      <c r="T184" s="270"/>
      <c r="U184" s="270"/>
      <c r="V184" s="270"/>
      <c r="W184" s="270"/>
      <c r="X184" s="270"/>
      <c r="Y184" s="270"/>
      <c r="Z184" s="270"/>
    </row>
    <row r="185" spans="1:26" ht="15.75" customHeight="1">
      <c r="A185" s="270"/>
      <c r="B185" s="270"/>
      <c r="C185" s="270"/>
      <c r="D185" s="270"/>
      <c r="E185" s="270"/>
      <c r="F185" s="270"/>
      <c r="G185" s="270"/>
      <c r="H185" s="270"/>
      <c r="I185" s="270"/>
      <c r="J185" s="270"/>
      <c r="K185" s="270"/>
      <c r="L185" s="270"/>
      <c r="M185" s="270"/>
      <c r="N185" s="270"/>
      <c r="O185" s="270"/>
      <c r="P185" s="270"/>
      <c r="Q185" s="270"/>
      <c r="R185" s="270"/>
      <c r="S185" s="270"/>
      <c r="T185" s="270"/>
      <c r="U185" s="270"/>
      <c r="V185" s="270"/>
      <c r="W185" s="270"/>
      <c r="X185" s="270"/>
      <c r="Y185" s="270"/>
      <c r="Z185" s="270"/>
    </row>
    <row r="186" spans="1:26" ht="15.75" customHeight="1">
      <c r="A186" s="270"/>
      <c r="B186" s="270"/>
      <c r="C186" s="270"/>
      <c r="D186" s="270"/>
      <c r="E186" s="270"/>
      <c r="F186" s="270"/>
      <c r="G186" s="270"/>
      <c r="H186" s="270"/>
      <c r="I186" s="270"/>
      <c r="J186" s="270"/>
      <c r="K186" s="270"/>
      <c r="L186" s="270"/>
      <c r="M186" s="270"/>
      <c r="N186" s="270"/>
      <c r="O186" s="270"/>
      <c r="P186" s="270"/>
      <c r="Q186" s="270"/>
      <c r="R186" s="270"/>
      <c r="S186" s="270"/>
      <c r="T186" s="270"/>
      <c r="U186" s="270"/>
      <c r="V186" s="270"/>
      <c r="W186" s="270"/>
      <c r="X186" s="270"/>
      <c r="Y186" s="270"/>
      <c r="Z186" s="270"/>
    </row>
    <row r="187" spans="1:26" ht="15.75" customHeight="1">
      <c r="A187" s="270"/>
      <c r="B187" s="270"/>
      <c r="C187" s="270"/>
      <c r="D187" s="270"/>
      <c r="E187" s="270"/>
      <c r="F187" s="270"/>
      <c r="G187" s="270"/>
      <c r="H187" s="270"/>
      <c r="I187" s="270"/>
      <c r="J187" s="270"/>
      <c r="K187" s="270"/>
      <c r="L187" s="270"/>
      <c r="M187" s="270"/>
      <c r="N187" s="270"/>
      <c r="O187" s="270"/>
      <c r="P187" s="270"/>
      <c r="Q187" s="270"/>
      <c r="R187" s="270"/>
      <c r="S187" s="270"/>
      <c r="T187" s="270"/>
      <c r="U187" s="270"/>
      <c r="V187" s="270"/>
      <c r="W187" s="270"/>
      <c r="X187" s="270"/>
      <c r="Y187" s="270"/>
      <c r="Z187" s="270"/>
    </row>
    <row r="188" spans="1:26" ht="15.75" customHeight="1">
      <c r="A188" s="270"/>
      <c r="B188" s="270"/>
      <c r="C188" s="270"/>
      <c r="D188" s="270"/>
      <c r="E188" s="270"/>
      <c r="F188" s="270"/>
      <c r="G188" s="270"/>
      <c r="H188" s="270"/>
      <c r="I188" s="270"/>
      <c r="J188" s="270"/>
      <c r="K188" s="270"/>
      <c r="L188" s="270"/>
      <c r="M188" s="270"/>
      <c r="N188" s="270"/>
      <c r="O188" s="270"/>
      <c r="P188" s="270"/>
      <c r="Q188" s="270"/>
      <c r="R188" s="270"/>
      <c r="S188" s="270"/>
      <c r="T188" s="270"/>
      <c r="U188" s="270"/>
      <c r="V188" s="270"/>
      <c r="W188" s="270"/>
      <c r="X188" s="270"/>
      <c r="Y188" s="270"/>
      <c r="Z188" s="270"/>
    </row>
    <row r="189" spans="1:26" ht="15.75" customHeight="1">
      <c r="A189" s="270"/>
      <c r="B189" s="270"/>
      <c r="C189" s="270"/>
      <c r="D189" s="270"/>
      <c r="E189" s="270"/>
      <c r="F189" s="270"/>
      <c r="G189" s="270"/>
      <c r="H189" s="270"/>
      <c r="I189" s="270"/>
      <c r="J189" s="270"/>
      <c r="K189" s="270"/>
      <c r="L189" s="270"/>
      <c r="M189" s="270"/>
      <c r="N189" s="270"/>
      <c r="O189" s="270"/>
      <c r="P189" s="270"/>
      <c r="Q189" s="270"/>
      <c r="R189" s="270"/>
      <c r="S189" s="270"/>
      <c r="T189" s="270"/>
      <c r="U189" s="270"/>
      <c r="V189" s="270"/>
      <c r="W189" s="270"/>
      <c r="X189" s="270"/>
      <c r="Y189" s="270"/>
      <c r="Z189" s="270"/>
    </row>
    <row r="190" spans="1:26" ht="15.75" customHeight="1">
      <c r="A190" s="270"/>
      <c r="B190" s="270"/>
      <c r="C190" s="270"/>
      <c r="D190" s="270"/>
      <c r="E190" s="270"/>
      <c r="F190" s="270"/>
      <c r="G190" s="270"/>
      <c r="H190" s="270"/>
      <c r="I190" s="270"/>
      <c r="J190" s="270"/>
      <c r="K190" s="270"/>
      <c r="L190" s="270"/>
      <c r="M190" s="270"/>
      <c r="N190" s="270"/>
      <c r="O190" s="270"/>
      <c r="P190" s="270"/>
      <c r="Q190" s="270"/>
      <c r="R190" s="270"/>
      <c r="S190" s="270"/>
      <c r="T190" s="270"/>
      <c r="U190" s="270"/>
      <c r="V190" s="270"/>
      <c r="W190" s="270"/>
      <c r="X190" s="270"/>
      <c r="Y190" s="270"/>
      <c r="Z190" s="270"/>
    </row>
    <row r="191" spans="1:26" ht="15.75" customHeight="1">
      <c r="A191" s="270"/>
      <c r="B191" s="270"/>
      <c r="C191" s="270"/>
      <c r="D191" s="270"/>
      <c r="E191" s="270"/>
      <c r="F191" s="270"/>
      <c r="G191" s="270"/>
      <c r="H191" s="270"/>
      <c r="I191" s="270"/>
      <c r="J191" s="270"/>
      <c r="K191" s="270"/>
      <c r="L191" s="270"/>
      <c r="M191" s="270"/>
      <c r="N191" s="270"/>
      <c r="O191" s="270"/>
      <c r="P191" s="270"/>
      <c r="Q191" s="270"/>
      <c r="R191" s="270"/>
      <c r="S191" s="270"/>
      <c r="T191" s="270"/>
      <c r="U191" s="270"/>
      <c r="V191" s="270"/>
      <c r="W191" s="270"/>
      <c r="X191" s="270"/>
      <c r="Y191" s="270"/>
      <c r="Z191" s="270"/>
    </row>
    <row r="192" spans="1:26" ht="15.75" customHeight="1">
      <c r="A192" s="270"/>
      <c r="B192" s="270"/>
      <c r="C192" s="270"/>
      <c r="D192" s="270"/>
      <c r="E192" s="270"/>
      <c r="F192" s="270"/>
      <c r="G192" s="270"/>
      <c r="H192" s="270"/>
      <c r="I192" s="270"/>
      <c r="J192" s="270"/>
      <c r="K192" s="270"/>
      <c r="L192" s="270"/>
      <c r="M192" s="270"/>
      <c r="N192" s="270"/>
      <c r="O192" s="270"/>
      <c r="P192" s="270"/>
      <c r="Q192" s="270"/>
      <c r="R192" s="270"/>
      <c r="S192" s="270"/>
      <c r="T192" s="270"/>
      <c r="U192" s="270"/>
      <c r="V192" s="270"/>
      <c r="W192" s="270"/>
      <c r="X192" s="270"/>
      <c r="Y192" s="270"/>
      <c r="Z192" s="270"/>
    </row>
    <row r="193" spans="1:26" ht="15.75" customHeight="1">
      <c r="A193" s="270"/>
      <c r="B193" s="270"/>
      <c r="C193" s="270"/>
      <c r="D193" s="270"/>
      <c r="E193" s="270"/>
      <c r="F193" s="270"/>
      <c r="G193" s="270"/>
      <c r="H193" s="270"/>
      <c r="I193" s="270"/>
      <c r="J193" s="270"/>
      <c r="K193" s="270"/>
      <c r="L193" s="270"/>
      <c r="M193" s="270"/>
      <c r="N193" s="270"/>
      <c r="O193" s="270"/>
      <c r="P193" s="270"/>
      <c r="Q193" s="270"/>
      <c r="R193" s="270"/>
      <c r="S193" s="270"/>
      <c r="T193" s="270"/>
      <c r="U193" s="270"/>
      <c r="V193" s="270"/>
      <c r="W193" s="270"/>
      <c r="X193" s="270"/>
      <c r="Y193" s="270"/>
      <c r="Z193" s="270"/>
    </row>
    <row r="194" spans="1:26" ht="15.75" customHeight="1">
      <c r="A194" s="270"/>
      <c r="B194" s="270"/>
      <c r="C194" s="270"/>
      <c r="D194" s="270"/>
      <c r="E194" s="270"/>
      <c r="F194" s="270"/>
      <c r="G194" s="270"/>
      <c r="H194" s="270"/>
      <c r="I194" s="270"/>
      <c r="J194" s="270"/>
      <c r="K194" s="270"/>
      <c r="L194" s="270"/>
      <c r="M194" s="270"/>
      <c r="N194" s="270"/>
      <c r="O194" s="270"/>
      <c r="P194" s="270"/>
      <c r="Q194" s="270"/>
      <c r="R194" s="270"/>
      <c r="S194" s="270"/>
      <c r="T194" s="270"/>
      <c r="U194" s="270"/>
      <c r="V194" s="270"/>
      <c r="W194" s="270"/>
      <c r="X194" s="270"/>
      <c r="Y194" s="270"/>
      <c r="Z194" s="270"/>
    </row>
    <row r="195" spans="1:26" ht="15.75" customHeight="1">
      <c r="A195" s="270"/>
      <c r="B195" s="270"/>
      <c r="C195" s="270"/>
      <c r="D195" s="270"/>
      <c r="E195" s="270"/>
      <c r="F195" s="270"/>
      <c r="G195" s="270"/>
      <c r="H195" s="270"/>
      <c r="I195" s="270"/>
      <c r="J195" s="270"/>
      <c r="K195" s="270"/>
      <c r="L195" s="270"/>
      <c r="M195" s="270"/>
      <c r="N195" s="270"/>
      <c r="O195" s="270"/>
      <c r="P195" s="270"/>
      <c r="Q195" s="270"/>
      <c r="R195" s="270"/>
      <c r="S195" s="270"/>
      <c r="T195" s="270"/>
      <c r="U195" s="270"/>
      <c r="V195" s="270"/>
      <c r="W195" s="270"/>
      <c r="X195" s="270"/>
      <c r="Y195" s="270"/>
      <c r="Z195" s="270"/>
    </row>
    <row r="196" spans="1:26" ht="15.75" customHeight="1">
      <c r="A196" s="270"/>
      <c r="B196" s="270"/>
      <c r="C196" s="270"/>
      <c r="D196" s="270"/>
      <c r="E196" s="270"/>
      <c r="F196" s="270"/>
      <c r="G196" s="270"/>
      <c r="H196" s="270"/>
      <c r="I196" s="270"/>
      <c r="J196" s="270"/>
      <c r="K196" s="270"/>
      <c r="L196" s="270"/>
      <c r="M196" s="270"/>
      <c r="N196" s="270"/>
      <c r="O196" s="270"/>
      <c r="P196" s="270"/>
      <c r="Q196" s="270"/>
      <c r="R196" s="270"/>
      <c r="S196" s="270"/>
      <c r="T196" s="270"/>
      <c r="U196" s="270"/>
      <c r="V196" s="270"/>
      <c r="W196" s="270"/>
      <c r="X196" s="270"/>
      <c r="Y196" s="270"/>
      <c r="Z196" s="270"/>
    </row>
    <row r="197" spans="1:26" ht="15.75" customHeight="1">
      <c r="A197" s="270"/>
      <c r="B197" s="270"/>
      <c r="C197" s="270"/>
      <c r="D197" s="270"/>
      <c r="E197" s="270"/>
      <c r="F197" s="270"/>
      <c r="G197" s="270"/>
      <c r="H197" s="270"/>
      <c r="I197" s="270"/>
      <c r="J197" s="270"/>
      <c r="K197" s="270"/>
      <c r="L197" s="270"/>
      <c r="M197" s="270"/>
      <c r="N197" s="270"/>
      <c r="O197" s="270"/>
      <c r="P197" s="270"/>
      <c r="Q197" s="270"/>
      <c r="R197" s="270"/>
      <c r="S197" s="270"/>
      <c r="T197" s="270"/>
      <c r="U197" s="270"/>
      <c r="V197" s="270"/>
      <c r="W197" s="270"/>
      <c r="X197" s="270"/>
      <c r="Y197" s="270"/>
      <c r="Z197" s="270"/>
    </row>
    <row r="198" spans="1:26" ht="15.75" customHeight="1">
      <c r="A198" s="270"/>
      <c r="B198" s="270"/>
      <c r="C198" s="270"/>
      <c r="D198" s="270"/>
      <c r="E198" s="270"/>
      <c r="F198" s="270"/>
      <c r="G198" s="270"/>
      <c r="H198" s="270"/>
      <c r="I198" s="270"/>
      <c r="J198" s="270"/>
      <c r="K198" s="270"/>
      <c r="L198" s="270"/>
      <c r="M198" s="270"/>
      <c r="N198" s="270"/>
      <c r="O198" s="270"/>
      <c r="P198" s="270"/>
      <c r="Q198" s="270"/>
      <c r="R198" s="270"/>
      <c r="S198" s="270"/>
      <c r="T198" s="270"/>
      <c r="U198" s="270"/>
      <c r="V198" s="270"/>
      <c r="W198" s="270"/>
      <c r="X198" s="270"/>
      <c r="Y198" s="270"/>
      <c r="Z198" s="270"/>
    </row>
    <row r="199" spans="1:26" ht="15.75" customHeight="1">
      <c r="A199" s="270"/>
      <c r="B199" s="270"/>
      <c r="C199" s="270"/>
      <c r="D199" s="270"/>
      <c r="E199" s="270"/>
      <c r="F199" s="270"/>
      <c r="G199" s="270"/>
      <c r="H199" s="270"/>
      <c r="I199" s="270"/>
      <c r="J199" s="270"/>
      <c r="K199" s="270"/>
      <c r="L199" s="270"/>
      <c r="M199" s="270"/>
      <c r="N199" s="270"/>
      <c r="O199" s="270"/>
      <c r="P199" s="270"/>
      <c r="Q199" s="270"/>
      <c r="R199" s="270"/>
      <c r="S199" s="270"/>
      <c r="T199" s="270"/>
      <c r="U199" s="270"/>
      <c r="V199" s="270"/>
      <c r="W199" s="270"/>
      <c r="X199" s="270"/>
      <c r="Y199" s="270"/>
      <c r="Z199" s="270"/>
    </row>
    <row r="200" spans="1:26" ht="15.75" customHeight="1">
      <c r="A200" s="270"/>
      <c r="B200" s="270"/>
      <c r="C200" s="270"/>
      <c r="D200" s="270"/>
      <c r="E200" s="270"/>
      <c r="F200" s="270"/>
      <c r="G200" s="270"/>
      <c r="H200" s="270"/>
      <c r="I200" s="270"/>
      <c r="J200" s="270"/>
      <c r="K200" s="270"/>
      <c r="L200" s="270"/>
      <c r="M200" s="270"/>
      <c r="N200" s="270"/>
      <c r="O200" s="270"/>
      <c r="P200" s="270"/>
      <c r="Q200" s="270"/>
      <c r="R200" s="270"/>
      <c r="S200" s="270"/>
      <c r="T200" s="270"/>
      <c r="U200" s="270"/>
      <c r="V200" s="270"/>
      <c r="W200" s="270"/>
      <c r="X200" s="270"/>
      <c r="Y200" s="270"/>
      <c r="Z200" s="270"/>
    </row>
    <row r="201" spans="1:26" ht="15.75" customHeight="1">
      <c r="A201" s="270"/>
      <c r="B201" s="270"/>
      <c r="C201" s="270"/>
      <c r="D201" s="270"/>
      <c r="E201" s="270"/>
      <c r="F201" s="270"/>
      <c r="G201" s="270"/>
      <c r="H201" s="270"/>
      <c r="I201" s="270"/>
      <c r="J201" s="270"/>
      <c r="K201" s="270"/>
      <c r="L201" s="270"/>
      <c r="M201" s="270"/>
      <c r="N201" s="270"/>
      <c r="O201" s="270"/>
      <c r="P201" s="270"/>
      <c r="Q201" s="270"/>
      <c r="R201" s="270"/>
      <c r="S201" s="270"/>
      <c r="T201" s="270"/>
      <c r="U201" s="270"/>
      <c r="V201" s="270"/>
      <c r="W201" s="270"/>
      <c r="X201" s="270"/>
      <c r="Y201" s="270"/>
      <c r="Z201" s="270"/>
    </row>
    <row r="202" spans="1:26" ht="15.75" customHeight="1">
      <c r="A202" s="270"/>
      <c r="B202" s="270"/>
      <c r="C202" s="270"/>
      <c r="D202" s="270"/>
      <c r="E202" s="270"/>
      <c r="F202" s="270"/>
      <c r="G202" s="270"/>
      <c r="H202" s="270"/>
      <c r="I202" s="270"/>
      <c r="J202" s="270"/>
      <c r="K202" s="270"/>
      <c r="L202" s="270"/>
      <c r="M202" s="270"/>
      <c r="N202" s="270"/>
      <c r="O202" s="270"/>
      <c r="P202" s="270"/>
      <c r="Q202" s="270"/>
      <c r="R202" s="270"/>
      <c r="S202" s="270"/>
      <c r="T202" s="270"/>
      <c r="U202" s="270"/>
      <c r="V202" s="270"/>
      <c r="W202" s="270"/>
      <c r="X202" s="270"/>
      <c r="Y202" s="270"/>
      <c r="Z202" s="270"/>
    </row>
    <row r="203" spans="1:26" ht="15.75" customHeight="1">
      <c r="A203" s="270"/>
      <c r="B203" s="270"/>
      <c r="C203" s="270"/>
      <c r="D203" s="270"/>
      <c r="E203" s="270"/>
      <c r="F203" s="270"/>
      <c r="G203" s="270"/>
      <c r="H203" s="270"/>
      <c r="I203" s="270"/>
      <c r="J203" s="270"/>
      <c r="K203" s="270"/>
      <c r="L203" s="270"/>
      <c r="M203" s="270"/>
      <c r="N203" s="270"/>
      <c r="O203" s="270"/>
      <c r="P203" s="270"/>
      <c r="Q203" s="270"/>
      <c r="R203" s="270"/>
      <c r="S203" s="270"/>
      <c r="T203" s="270"/>
      <c r="U203" s="270"/>
      <c r="V203" s="270"/>
      <c r="W203" s="270"/>
      <c r="X203" s="270"/>
      <c r="Y203" s="270"/>
      <c r="Z203" s="270"/>
    </row>
    <row r="204" spans="1:26" ht="15.75" customHeight="1">
      <c r="A204" s="270"/>
      <c r="B204" s="270"/>
      <c r="C204" s="270"/>
      <c r="D204" s="270"/>
      <c r="E204" s="270"/>
      <c r="F204" s="270"/>
      <c r="G204" s="270"/>
      <c r="H204" s="270"/>
      <c r="I204" s="270"/>
      <c r="J204" s="270"/>
      <c r="K204" s="270"/>
      <c r="L204" s="270"/>
      <c r="M204" s="270"/>
      <c r="N204" s="270"/>
      <c r="O204" s="270"/>
      <c r="P204" s="270"/>
      <c r="Q204" s="270"/>
      <c r="R204" s="270"/>
      <c r="S204" s="270"/>
      <c r="T204" s="270"/>
      <c r="U204" s="270"/>
      <c r="V204" s="270"/>
      <c r="W204" s="270"/>
      <c r="X204" s="270"/>
      <c r="Y204" s="270"/>
      <c r="Z204" s="270"/>
    </row>
    <row r="205" spans="1:26" ht="15.75" customHeight="1">
      <c r="A205" s="270"/>
      <c r="B205" s="270"/>
      <c r="C205" s="270"/>
      <c r="D205" s="270"/>
      <c r="E205" s="270"/>
      <c r="F205" s="270"/>
      <c r="G205" s="270"/>
      <c r="H205" s="270"/>
      <c r="I205" s="270"/>
      <c r="J205" s="270"/>
      <c r="K205" s="270"/>
      <c r="L205" s="270"/>
      <c r="M205" s="270"/>
      <c r="N205" s="270"/>
      <c r="O205" s="270"/>
      <c r="P205" s="270"/>
      <c r="Q205" s="270"/>
      <c r="R205" s="270"/>
      <c r="S205" s="270"/>
      <c r="T205" s="270"/>
      <c r="U205" s="270"/>
      <c r="V205" s="270"/>
      <c r="W205" s="270"/>
      <c r="X205" s="270"/>
      <c r="Y205" s="270"/>
      <c r="Z205" s="270"/>
    </row>
    <row r="206" spans="1:26" ht="15.75" customHeight="1">
      <c r="A206" s="270"/>
      <c r="B206" s="270"/>
      <c r="C206" s="270"/>
      <c r="D206" s="270"/>
      <c r="E206" s="270"/>
      <c r="F206" s="270"/>
      <c r="G206" s="270"/>
      <c r="H206" s="270"/>
      <c r="I206" s="270"/>
      <c r="J206" s="270"/>
      <c r="K206" s="270"/>
      <c r="L206" s="270"/>
      <c r="M206" s="270"/>
      <c r="N206" s="270"/>
      <c r="O206" s="270"/>
      <c r="P206" s="270"/>
      <c r="Q206" s="270"/>
      <c r="R206" s="270"/>
      <c r="S206" s="270"/>
      <c r="T206" s="270"/>
      <c r="U206" s="270"/>
      <c r="V206" s="270"/>
      <c r="W206" s="270"/>
      <c r="X206" s="270"/>
      <c r="Y206" s="270"/>
      <c r="Z206" s="270"/>
    </row>
    <row r="207" spans="1:26" ht="15.75" customHeight="1">
      <c r="A207" s="270"/>
      <c r="B207" s="270"/>
      <c r="C207" s="270"/>
      <c r="D207" s="270"/>
      <c r="E207" s="270"/>
      <c r="F207" s="270"/>
      <c r="G207" s="270"/>
      <c r="H207" s="270"/>
      <c r="I207" s="270"/>
      <c r="J207" s="270"/>
      <c r="K207" s="270"/>
      <c r="L207" s="270"/>
      <c r="M207" s="270"/>
      <c r="N207" s="270"/>
      <c r="O207" s="270"/>
      <c r="P207" s="270"/>
      <c r="Q207" s="270"/>
      <c r="R207" s="270"/>
      <c r="S207" s="270"/>
      <c r="T207" s="270"/>
      <c r="U207" s="270"/>
      <c r="V207" s="270"/>
      <c r="W207" s="270"/>
      <c r="X207" s="270"/>
      <c r="Y207" s="270"/>
      <c r="Z207" s="270"/>
    </row>
    <row r="208" spans="1:26" ht="15.75" customHeight="1">
      <c r="A208" s="270"/>
      <c r="B208" s="270"/>
      <c r="C208" s="270"/>
      <c r="D208" s="270"/>
      <c r="E208" s="270"/>
      <c r="F208" s="270"/>
      <c r="G208" s="270"/>
      <c r="H208" s="270"/>
      <c r="I208" s="270"/>
      <c r="J208" s="270"/>
      <c r="K208" s="270"/>
      <c r="L208" s="270"/>
      <c r="M208" s="270"/>
      <c r="N208" s="270"/>
      <c r="O208" s="270"/>
      <c r="P208" s="270"/>
      <c r="Q208" s="270"/>
      <c r="R208" s="270"/>
      <c r="S208" s="270"/>
      <c r="T208" s="270"/>
      <c r="U208" s="270"/>
      <c r="V208" s="270"/>
      <c r="W208" s="270"/>
      <c r="X208" s="270"/>
      <c r="Y208" s="270"/>
      <c r="Z208" s="270"/>
    </row>
    <row r="209" spans="1:26" ht="15.75" customHeight="1">
      <c r="A209" s="270"/>
      <c r="B209" s="270"/>
      <c r="C209" s="270"/>
      <c r="D209" s="270"/>
      <c r="E209" s="270"/>
      <c r="F209" s="270"/>
      <c r="G209" s="270"/>
      <c r="H209" s="270"/>
      <c r="I209" s="270"/>
      <c r="J209" s="270"/>
      <c r="K209" s="270"/>
      <c r="L209" s="270"/>
      <c r="M209" s="270"/>
      <c r="N209" s="270"/>
      <c r="O209" s="270"/>
      <c r="P209" s="270"/>
      <c r="Q209" s="270"/>
      <c r="R209" s="270"/>
      <c r="S209" s="270"/>
      <c r="T209" s="270"/>
      <c r="U209" s="270"/>
      <c r="V209" s="270"/>
      <c r="W209" s="270"/>
      <c r="X209" s="270"/>
      <c r="Y209" s="270"/>
      <c r="Z209" s="270"/>
    </row>
    <row r="210" spans="1:26" ht="15.75" customHeight="1">
      <c r="A210" s="270"/>
      <c r="B210" s="270"/>
      <c r="C210" s="270"/>
      <c r="D210" s="270"/>
      <c r="E210" s="270"/>
      <c r="F210" s="270"/>
      <c r="G210" s="270"/>
      <c r="H210" s="270"/>
      <c r="I210" s="270"/>
      <c r="J210" s="270"/>
      <c r="K210" s="270"/>
      <c r="L210" s="270"/>
      <c r="M210" s="270"/>
      <c r="N210" s="270"/>
      <c r="O210" s="270"/>
      <c r="P210" s="270"/>
      <c r="Q210" s="270"/>
      <c r="R210" s="270"/>
      <c r="S210" s="270"/>
      <c r="T210" s="270"/>
      <c r="U210" s="270"/>
      <c r="V210" s="270"/>
      <c r="W210" s="270"/>
      <c r="X210" s="270"/>
      <c r="Y210" s="270"/>
      <c r="Z210" s="270"/>
    </row>
    <row r="211" spans="1:26" ht="15.75" customHeight="1">
      <c r="A211" s="270"/>
      <c r="B211" s="270"/>
      <c r="C211" s="270"/>
      <c r="D211" s="270"/>
      <c r="E211" s="270"/>
      <c r="F211" s="270"/>
      <c r="G211" s="270"/>
      <c r="H211" s="270"/>
      <c r="I211" s="270"/>
      <c r="J211" s="270"/>
      <c r="K211" s="270"/>
      <c r="L211" s="270"/>
      <c r="M211" s="270"/>
      <c r="N211" s="270"/>
      <c r="O211" s="270"/>
      <c r="P211" s="270"/>
      <c r="Q211" s="270"/>
      <c r="R211" s="270"/>
      <c r="S211" s="270"/>
      <c r="T211" s="270"/>
      <c r="U211" s="270"/>
      <c r="V211" s="270"/>
      <c r="W211" s="270"/>
      <c r="X211" s="270"/>
      <c r="Y211" s="270"/>
      <c r="Z211" s="270"/>
    </row>
    <row r="212" spans="1:26" ht="15.75" customHeight="1">
      <c r="A212" s="270"/>
      <c r="B212" s="270"/>
      <c r="C212" s="270"/>
      <c r="D212" s="270"/>
      <c r="E212" s="270"/>
      <c r="F212" s="270"/>
      <c r="G212" s="270"/>
      <c r="H212" s="270"/>
      <c r="I212" s="270"/>
      <c r="J212" s="270"/>
      <c r="K212" s="270"/>
      <c r="L212" s="270"/>
      <c r="M212" s="270"/>
      <c r="N212" s="270"/>
      <c r="O212" s="270"/>
      <c r="P212" s="270"/>
      <c r="Q212" s="270"/>
      <c r="R212" s="270"/>
      <c r="S212" s="270"/>
      <c r="T212" s="270"/>
      <c r="U212" s="270"/>
      <c r="V212" s="270"/>
      <c r="W212" s="270"/>
      <c r="X212" s="270"/>
      <c r="Y212" s="270"/>
      <c r="Z212" s="270"/>
    </row>
    <row r="213" spans="1:26" ht="15.75" customHeight="1">
      <c r="A213" s="270"/>
      <c r="B213" s="270"/>
      <c r="C213" s="270"/>
      <c r="D213" s="270"/>
      <c r="E213" s="270"/>
      <c r="F213" s="270"/>
      <c r="G213" s="270"/>
      <c r="H213" s="270"/>
      <c r="I213" s="270"/>
      <c r="J213" s="270"/>
      <c r="K213" s="270"/>
      <c r="L213" s="270"/>
      <c r="M213" s="270"/>
      <c r="N213" s="270"/>
      <c r="O213" s="270"/>
      <c r="P213" s="270"/>
      <c r="Q213" s="270"/>
      <c r="R213" s="270"/>
      <c r="S213" s="270"/>
      <c r="T213" s="270"/>
      <c r="U213" s="270"/>
      <c r="V213" s="270"/>
      <c r="W213" s="270"/>
      <c r="X213" s="270"/>
      <c r="Y213" s="270"/>
      <c r="Z213" s="270"/>
    </row>
    <row r="214" spans="1:26" ht="15.75" customHeight="1">
      <c r="A214" s="270"/>
      <c r="B214" s="270"/>
      <c r="C214" s="270"/>
      <c r="D214" s="270"/>
      <c r="E214" s="270"/>
      <c r="F214" s="270"/>
      <c r="G214" s="270"/>
      <c r="H214" s="270"/>
      <c r="I214" s="270"/>
      <c r="J214" s="270"/>
      <c r="K214" s="270"/>
      <c r="L214" s="270"/>
      <c r="M214" s="270"/>
      <c r="N214" s="270"/>
      <c r="O214" s="270"/>
      <c r="P214" s="270"/>
      <c r="Q214" s="270"/>
      <c r="R214" s="270"/>
      <c r="S214" s="270"/>
      <c r="T214" s="270"/>
      <c r="U214" s="270"/>
      <c r="V214" s="270"/>
      <c r="W214" s="270"/>
      <c r="X214" s="270"/>
      <c r="Y214" s="270"/>
      <c r="Z214" s="270"/>
    </row>
    <row r="215" spans="1:26" ht="15.75" customHeight="1">
      <c r="A215" s="270"/>
      <c r="B215" s="270"/>
      <c r="C215" s="270"/>
      <c r="D215" s="270"/>
      <c r="E215" s="270"/>
      <c r="F215" s="270"/>
      <c r="G215" s="270"/>
      <c r="H215" s="270"/>
      <c r="I215" s="270"/>
      <c r="J215" s="270"/>
      <c r="K215" s="270"/>
      <c r="L215" s="270"/>
      <c r="M215" s="270"/>
      <c r="N215" s="270"/>
      <c r="O215" s="270"/>
      <c r="P215" s="270"/>
      <c r="Q215" s="270"/>
      <c r="R215" s="270"/>
      <c r="S215" s="270"/>
      <c r="T215" s="270"/>
      <c r="U215" s="270"/>
      <c r="V215" s="270"/>
      <c r="W215" s="270"/>
      <c r="X215" s="270"/>
      <c r="Y215" s="270"/>
      <c r="Z215" s="270"/>
    </row>
    <row r="216" spans="1:26" ht="15.75" customHeight="1">
      <c r="A216" s="270"/>
      <c r="B216" s="270"/>
      <c r="C216" s="270"/>
      <c r="D216" s="270"/>
      <c r="E216" s="270"/>
      <c r="F216" s="270"/>
      <c r="G216" s="270"/>
      <c r="H216" s="270"/>
      <c r="I216" s="270"/>
      <c r="J216" s="270"/>
      <c r="K216" s="270"/>
      <c r="L216" s="270"/>
      <c r="M216" s="270"/>
      <c r="N216" s="270"/>
      <c r="O216" s="270"/>
      <c r="P216" s="270"/>
      <c r="Q216" s="270"/>
      <c r="R216" s="270"/>
      <c r="S216" s="270"/>
      <c r="T216" s="270"/>
      <c r="U216" s="270"/>
      <c r="V216" s="270"/>
      <c r="W216" s="270"/>
      <c r="X216" s="270"/>
      <c r="Y216" s="270"/>
      <c r="Z216" s="270"/>
    </row>
    <row r="217" spans="1:26" ht="15.75" customHeight="1">
      <c r="A217" s="270"/>
      <c r="B217" s="270"/>
      <c r="C217" s="270"/>
      <c r="D217" s="270"/>
      <c r="E217" s="270"/>
      <c r="F217" s="270"/>
      <c r="G217" s="270"/>
      <c r="H217" s="270"/>
      <c r="I217" s="270"/>
      <c r="J217" s="270"/>
      <c r="K217" s="270"/>
      <c r="L217" s="270"/>
      <c r="M217" s="270"/>
      <c r="N217" s="270"/>
      <c r="O217" s="270"/>
      <c r="P217" s="270"/>
      <c r="Q217" s="270"/>
      <c r="R217" s="270"/>
      <c r="S217" s="270"/>
      <c r="T217" s="270"/>
      <c r="U217" s="270"/>
      <c r="V217" s="270"/>
      <c r="W217" s="270"/>
      <c r="X217" s="270"/>
      <c r="Y217" s="270"/>
      <c r="Z217" s="270"/>
    </row>
    <row r="218" spans="1:26" ht="15.75" customHeight="1">
      <c r="A218" s="270"/>
      <c r="B218" s="270"/>
      <c r="C218" s="270"/>
      <c r="D218" s="270"/>
      <c r="E218" s="270"/>
      <c r="F218" s="270"/>
      <c r="G218" s="270"/>
      <c r="H218" s="270"/>
      <c r="I218" s="270"/>
      <c r="J218" s="270"/>
      <c r="K218" s="270"/>
      <c r="L218" s="270"/>
      <c r="M218" s="270"/>
      <c r="N218" s="270"/>
      <c r="O218" s="270"/>
      <c r="P218" s="270"/>
      <c r="Q218" s="270"/>
      <c r="R218" s="270"/>
      <c r="S218" s="270"/>
      <c r="T218" s="270"/>
      <c r="U218" s="270"/>
      <c r="V218" s="270"/>
      <c r="W218" s="270"/>
      <c r="X218" s="270"/>
      <c r="Y218" s="270"/>
      <c r="Z218" s="270"/>
    </row>
    <row r="219" spans="1:26" ht="15.75" customHeight="1">
      <c r="A219" s="270"/>
      <c r="B219" s="270"/>
      <c r="C219" s="270"/>
      <c r="D219" s="270"/>
      <c r="E219" s="270"/>
      <c r="F219" s="270"/>
      <c r="G219" s="270"/>
      <c r="H219" s="270"/>
      <c r="I219" s="270"/>
      <c r="J219" s="270"/>
      <c r="K219" s="270"/>
      <c r="L219" s="270"/>
      <c r="M219" s="270"/>
      <c r="N219" s="270"/>
      <c r="O219" s="270"/>
      <c r="P219" s="270"/>
      <c r="Q219" s="270"/>
      <c r="R219" s="270"/>
      <c r="S219" s="270"/>
      <c r="T219" s="270"/>
      <c r="U219" s="270"/>
      <c r="V219" s="270"/>
      <c r="W219" s="270"/>
      <c r="X219" s="270"/>
      <c r="Y219" s="270"/>
      <c r="Z219" s="270"/>
    </row>
    <row r="220" spans="1:26" ht="15.75" customHeight="1">
      <c r="A220" s="270"/>
      <c r="B220" s="270"/>
      <c r="C220" s="270"/>
      <c r="D220" s="270"/>
      <c r="E220" s="270"/>
      <c r="F220" s="270"/>
      <c r="G220" s="270"/>
      <c r="H220" s="270"/>
      <c r="I220" s="270"/>
      <c r="J220" s="270"/>
      <c r="K220" s="270"/>
      <c r="L220" s="270"/>
      <c r="M220" s="270"/>
      <c r="N220" s="270"/>
      <c r="O220" s="270"/>
      <c r="P220" s="270"/>
      <c r="Q220" s="270"/>
      <c r="R220" s="270"/>
      <c r="S220" s="270"/>
      <c r="T220" s="270"/>
      <c r="U220" s="270"/>
      <c r="V220" s="270"/>
      <c r="W220" s="270"/>
      <c r="X220" s="270"/>
      <c r="Y220" s="270"/>
      <c r="Z220" s="27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EN PROCESO (Alfa)</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2026-03-12T22:44:53Z</dcterms:modified>
</cp:coreProperties>
</file>
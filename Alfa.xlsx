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36" i="1" l="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<sst xmlns="http://schemas.openxmlformats.org/spreadsheetml/2006/main" count="1055" uniqueCount="486">
  <si>
    <t>Asignado a</t>
  </si>
  <si>
    <t># REQ</t>
  </si>
  <si>
    <t xml:space="preserve">Requerimiento </t>
  </si>
  <si>
    <t>Detalle del requerimiento</t>
  </si>
  <si>
    <t xml:space="preserve">Proceso </t>
  </si>
  <si>
    <t>ESTADO</t>
  </si>
  <si>
    <t>%</t>
  </si>
  <si>
    <t>Dias estimados desarrollo</t>
  </si>
  <si>
    <t>F.Asignado</t>
  </si>
  <si>
    <t>Fecha inicio</t>
  </si>
  <si>
    <t>Fecha estimada de entrega</t>
  </si>
  <si>
    <t>Finalizado</t>
  </si>
  <si>
    <t>Dias total desarrollo</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</si>
  <si>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</si>
  <si>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</si>
  <si>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</si>
  <si>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</si>
  <si>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</si>
  <si>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</si>
  <si>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</si>
  <si>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</si>
  <si>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</si>
  <si>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</si>
  <si>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</si>
  <si>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</si>
  <si>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</si>
  <si>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</si>
  <si>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</si>
  <si>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</si>
  <si>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</si>
  <si>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</si>
  <si>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</si>
  <si>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</si>
  <si>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</si>
  <si>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</si>
  <si>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</si>
  <si>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</si>
  <si>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</si>
  <si>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</si>
  <si>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</si>
  <si>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</si>
  <si>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</si>
  <si>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</si>
  <si>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</si>
  <si>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</si>
  <si>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</si>
  <si>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</si>
  <si>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</si>
  <si>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</si>
  <si>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</si>
  <si>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</si>
  <si>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</si>
  <si>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</si>
  <si>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</si>
  <si>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</si>
  <si>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</si>
  <si>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</si>
  <si>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</si>
  <si>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</si>
  <si>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</si>
  <si>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</si>
  <si>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</si>
  <si>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</si>
  <si>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</si>
  <si>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</si>
  <si>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</si>
  <si>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</si>
  <si>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</si>
  <si>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</si>
  <si>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</si>
  <si>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</si>
  <si>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</si>
  <si>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</si>
  <si>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</si>
  <si>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</si>
  <si>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</si>
  <si>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</si>
  <si>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</si>
  <si>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</si>
  <si>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</si>
  <si>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</si>
  <si>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</si>
  <si>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</si>
  <si>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</si>
  <si>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</si>
  <si>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</si>
  <si>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</si>
  <si>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</si>
  <si>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</si>
  <si>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</si>
  <si>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</si>
  <si>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</si>
  <si>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</si>
  <si>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</si>
  <si>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</si>
  <si>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</si>
  <si>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</si>
  <si>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</si>
  <si>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</si>
  <si>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</si>
  <si>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</si>
  <si>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</si>
  <si>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</si>
  <si>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</si>
  <si>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</si>
  <si>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</si>
  <si>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</si>
  <si>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</si>
  <si>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</si>
  <si>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</si>
  <si>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</si>
  <si>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</si>
  <si>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</si>
  <si>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</si>
  <si>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</si>
  <si>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</si>
  <si>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</si>
  <si>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</si>
  <si>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</si>
  <si>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</si>
  <si>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</si>
  <si>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</si>
  <si>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</si>
  <si>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</si>
  <si>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</si>
  <si>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</si>
  <si>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</si>
  <si>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</si>
  <si>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</si>
  <si>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</si>
  <si>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</si>
  <si>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</si>
  <si>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</si>
  <si>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</si>
  <si>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</si>
  <si>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</si>
  <si>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</si>
  <si>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</si>
  <si>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</si>
  <si>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</si>
  <si>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</si>
  <si>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</si>
  <si>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</si>
  <si>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</si>
  <si>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</si>
  <si>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</si>
  <si>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</si>
  <si>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</si>
  <si>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</si>
  <si>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</si>
  <si>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</si>
  <si>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</si>
  <si>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</si>
  <si>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</si>
  <si>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</si>
  <si>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</si>
  <si>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</si>
  <si>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</si>
  <si>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</si>
  <si>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</si>
  <si>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</si>
  <si>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</si>
  <si>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</si>
  <si>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</si>
  <si>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</si>
  <si>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</si>
  <si>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</si>
  <si>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</si>
  <si>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</si>
  <si>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</si>
  <si>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</si>
  <si>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</si>
  <si>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</si>
  <si>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</si>
  <si>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</si>
  <si>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</si>
  <si>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</si>
  <si>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</si>
  <si>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</si>
  <si>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</si>
  <si>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</si>
  <si>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</si>
  <si>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</si>
  <si>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</si>
  <si>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</si>
  <si>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</si>
  <si>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</si>
  <si>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</si>
  <si>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</si>
  <si>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</si>
  <si>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</si>
  <si>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</si>
  <si>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</si>
  <si>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</si>
  <si>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</si>
  <si>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</si>
  <si>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</si>
  <si>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</si>
  <si>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</si>
  <si>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</si>
  <si>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</si>
  <si>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</si>
  <si>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</si>
  <si>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</si>
  <si>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</si>
  <si>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</si>
  <si>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</si>
  <si>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</si>
  <si>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</si>
  <si>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</si>
  <si>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</si>
  <si>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</si>
  <si>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</si>
  <si>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</si>
  <si>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</si>
  <si>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</si>
  <si>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</si>
  <si>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</si>
  <si>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</si>
  <si>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</si>
  <si>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</si>
  <si>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</si>
  <si>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</si>
  <si>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</si>
  <si>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</si>
  <si>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</si>
  <si>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</si>
  <si>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</si>
  <si>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</si>
  <si>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</si>
  <si>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</si>
  <si>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</si>
  <si>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</si>
  <si>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</si>
  <si>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</si>
  <si>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</si>
  <si>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</si>
  <si>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</si>
  <si>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</si>
  <si>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</si>
  <si>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</si>
  <si>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</si>
  <si>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</si>
  <si>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</si>
  <si>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</si>
  <si>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</si>
  <si>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</si>
  <si>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</si>
  <si>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</si>
  <si>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</si>
  <si>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</si>
  <si>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</si>
  <si>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</si>
  <si>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</si>
  <si>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</si>
  <si>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</si>
  <si>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</si>
  <si>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</si>
  <si>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</si>
  <si>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</si>
  <si>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</si>
  <si>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</si>
  <si>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</si>
  <si>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</si>
  <si>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</si>
  <si>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</si>
  <si>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</si>
  <si>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</si>
  <si>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</si>
  <si>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</si>
  <si>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</si>
  <si>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</si>
  <si>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</si>
  <si>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</si>
  <si>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</si>
  <si>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</si>
  <si>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</si>
  <si>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</si>
  <si>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</si>
  <si>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</si>
  <si>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</si>
  <si>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</si>
  <si>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</si>
  <si>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</si>
  <si>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</si>
  <si>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</si>
  <si>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</si>
  <si>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</si>
  <si>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</si>
  <si>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</si>
  <si>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</si>
  <si>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</si>
  <si>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</si>
  <si>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</si>
  <si>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</si>
  <si>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</si>
  <si>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</si>
  <si>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</si>
  <si>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</si>
  <si>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</si>
  <si>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</si>
  <si>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</si>
  <si>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</si>
  <si>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</si>
  <si>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</si>
  <si>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</si>
  <si>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</si>
  <si>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</si>
  <si>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</si>
  <si>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</si>
  <si>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</si>
  <si>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</si>
  <si>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</si>
  <si>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</si>
  <si>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</si>
  <si>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</si>
  <si>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</si>
  <si>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</si>
  <si>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</si>
  <si>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</si>
  <si>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</si>
  <si>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</si>
  <si>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</si>
  <si>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</si>
  <si>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</si>
  <si>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</si>
  <si>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</si>
  <si>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</si>
  <si>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</si>
  <si>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</si>
  <si>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</si>
  <si>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</si>
  <si>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</si>
  <si>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</si>
  <si>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</si>
  <si>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</si>
  <si>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</si>
  <si>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</si>
  <si>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</si>
  <si>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</si>
  <si>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</si>
  <si>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</si>
  <si>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</si>
  <si>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</si>
  <si>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</si>
  <si>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</si>
  <si>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</si>
  <si>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</si>
  <si>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</si>
  <si>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</si>
  <si>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</si>
  <si>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</si>
  <si>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</si>
  <si>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</si>
  <si>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</si>
  <si>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</si>
  <si>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</si>
  <si>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</si>
  <si>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</si>
  <si>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</si>
  <si>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</si>
  <si>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</si>
  <si>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</si>
  <si>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</si>
  <si>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</si>
  <si>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</si>
  <si>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</si>
  <si>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</si>
  <si>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</si>
  <si>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</si>
  <si>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</si>
  <si>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</si>
  <si>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</si>
  <si>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</si>
  <si>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</si>
  <si>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</si>
  <si>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</si>
  <si>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</si>
  <si>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</si>
  <si>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</si>
  <si>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</si>
  <si>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</si>
  <si>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</si>
  <si>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</si>
  <si>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</si>
  <si>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</si>
  <si>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</si>
  <si>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</si>
  <si>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</si>
  <si>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</si>
  <si>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</si>
  <si>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</si>
  <si>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</si>
  <si>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</si>
  <si>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</si>
  <si>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</si>
  <si>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</si>
  <si>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</si>
  <si>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</si>
  <si>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</si>
  <si>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</si>
  <si>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</si>
  <si>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</si>
  <si>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</si>
  <si>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</si>
  <si>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</si>
  <si>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</si>
  <si>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</si>
  <si>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</si>
  <si>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</si>
  <si>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</si>
  <si>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</si>
  <si>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</si>
  <si>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</si>
  <si>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</si>
  <si>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</si>
  <si>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</si>
  <si>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</si>
  <si>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</si>
  <si>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</si>
  <si>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</si>
  <si>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</si>
  <si>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</si>
  <si>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</si>
  <si>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</si>
  <si>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</si>
  <si>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</si>
  <si>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</si>
  <si>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</si>
  <si>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</si>
  <si>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</si>
  <si>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</si>
  <si>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</si>
  <si>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</si>
  <si>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</si>
  <si>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</si>
  <si>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</si>
  <si>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</si>
  <si>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</si>
  <si>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</si>
  <si>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</si>
  <si>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</si>
  <si>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</si>
  <si>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</si>
  <si>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</si>
  <si>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</si>
  <si>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</si>
  <si>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</si>
  <si>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</si>
  <si>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</si>
  <si>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</si>
  <si>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</si>
  <si>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</si>
  <si>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</si>
  <si>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</si>
  <si>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</si>
  <si>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</si>
  <si>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</si>
  <si>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</si>
  <si>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</si>
  <si>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</si>
  <si>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</si>
  <si>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</si>
  <si>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</si>
  <si>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</si>
  <si>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</si>
  <si>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</si>
  <si>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</si>
  <si>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</si>
  <si>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t>
  </si>
  <si>
    <t>SST_2025_026</t>
  </si>
  <si>
    <t>Plan de Trabajo ALFASST - Pre-Orden de Servicio</t>
  </si>
  <si>
    <t>Modificación en la creación y generación de ordenes de servicio</t>
  </si>
  <si>
    <t xml:space="preserve">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</si>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</sst>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30">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b/>
      <u/>
      <sz val="11"/>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sz val="12"/>
      <color theme="1"/>
      <name val="&quot;Calibri&quot;"/>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4">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12"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0" fontId="4" fillId="0" borderId="2" xfId="0" applyFont="1" applyBorder="1" applyAlignment="1">
      <alignment horizontal="left" vertical="center" wrapText="1"/>
    </xf>
    <xf numFmtId="165" fontId="13" fillId="5" borderId="2" xfId="0" applyNumberFormat="1" applyFont="1" applyFill="1" applyBorder="1" applyAlignment="1">
      <alignment horizontal="right" vertical="center"/>
    </xf>
    <xf numFmtId="0" fontId="14" fillId="5" borderId="2" xfId="0" applyFont="1" applyFill="1" applyBorder="1" applyAlignment="1">
      <alignment horizontal="center" vertical="center"/>
    </xf>
    <xf numFmtId="0" fontId="15"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6"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0" fontId="17" fillId="0" borderId="3" xfId="0" applyFont="1" applyBorder="1" applyAlignment="1">
      <alignment horizontal="left" vertical="top" wrapText="1"/>
    </xf>
    <xf numFmtId="0" fontId="18" fillId="5" borderId="3" xfId="0" applyFont="1" applyFill="1" applyBorder="1" applyAlignment="1">
      <alignment vertical="center"/>
    </xf>
    <xf numFmtId="0" fontId="13"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20" fillId="5" borderId="2" xfId="0" applyFont="1" applyFill="1" applyBorder="1" applyAlignment="1">
      <alignment vertical="center"/>
    </xf>
    <xf numFmtId="0" fontId="21" fillId="7" borderId="2" xfId="0" applyFont="1" applyFill="1" applyBorder="1" applyAlignment="1">
      <alignment horizontal="center" vertical="center" wrapText="1"/>
    </xf>
    <xf numFmtId="0" fontId="22" fillId="5" borderId="2" xfId="0" applyFont="1" applyFill="1" applyBorder="1" applyAlignment="1">
      <alignment vertical="center"/>
    </xf>
    <xf numFmtId="0" fontId="20" fillId="5" borderId="2" xfId="0" applyFont="1" applyFill="1" applyBorder="1" applyAlignment="1">
      <alignment horizontal="center" vertical="center"/>
    </xf>
    <xf numFmtId="164" fontId="20" fillId="5" borderId="2" xfId="0" applyNumberFormat="1" applyFont="1" applyFill="1" applyBorder="1" applyAlignment="1">
      <alignment horizontal="right" vertical="center"/>
    </xf>
    <xf numFmtId="165" fontId="20" fillId="5" borderId="2" xfId="0" applyNumberFormat="1" applyFont="1" applyFill="1" applyBorder="1" applyAlignment="1">
      <alignment horizontal="right" vertical="center"/>
    </xf>
    <xf numFmtId="164" fontId="20" fillId="5" borderId="2" xfId="0" applyNumberFormat="1" applyFont="1" applyFill="1" applyBorder="1" applyAlignment="1">
      <alignment vertical="center"/>
    </xf>
    <xf numFmtId="14" fontId="20" fillId="5" borderId="2" xfId="0" applyNumberFormat="1" applyFont="1" applyFill="1" applyBorder="1" applyAlignment="1">
      <alignment vertical="center"/>
    </xf>
    <xf numFmtId="0" fontId="20" fillId="7" borderId="2" xfId="0" applyFont="1" applyFill="1" applyBorder="1" applyAlignment="1">
      <alignment vertical="top"/>
    </xf>
    <xf numFmtId="49" fontId="21" fillId="7" borderId="2" xfId="0" applyNumberFormat="1" applyFont="1" applyFill="1" applyBorder="1" applyAlignment="1">
      <alignment vertical="center" wrapText="1"/>
    </xf>
    <xf numFmtId="0" fontId="23" fillId="5" borderId="2" xfId="0" applyFont="1" applyFill="1" applyBorder="1" applyAlignment="1">
      <alignment vertical="center"/>
    </xf>
    <xf numFmtId="165" fontId="24" fillId="7" borderId="2" xfId="0" applyNumberFormat="1" applyFont="1" applyFill="1" applyBorder="1" applyAlignment="1">
      <alignment horizontal="right" vertical="center"/>
    </xf>
    <xf numFmtId="0" fontId="24" fillId="7" borderId="2" xfId="0" applyFont="1" applyFill="1" applyBorder="1" applyAlignment="1">
      <alignment vertical="top"/>
    </xf>
    <xf numFmtId="0" fontId="4" fillId="5" borderId="2" xfId="0" applyFont="1" applyFill="1" applyBorder="1" applyAlignment="1">
      <alignment vertical="center"/>
    </xf>
    <xf numFmtId="0" fontId="20" fillId="5" borderId="2" xfId="0" applyFont="1" applyFill="1" applyBorder="1" applyAlignment="1">
      <alignment vertical="top"/>
    </xf>
    <xf numFmtId="0" fontId="21" fillId="5" borderId="2" xfId="0" applyFont="1" applyFill="1" applyBorder="1" applyAlignment="1">
      <alignment horizontal="center" vertical="center" wrapText="1"/>
    </xf>
    <xf numFmtId="0" fontId="24" fillId="5" borderId="2" xfId="0" applyFont="1" applyFill="1" applyBorder="1" applyAlignment="1">
      <alignment horizontal="center" vertical="center"/>
    </xf>
    <xf numFmtId="49" fontId="21" fillId="5" borderId="2" xfId="0" applyNumberFormat="1" applyFont="1" applyFill="1" applyBorder="1" applyAlignment="1">
      <alignment vertical="center" wrapText="1"/>
    </xf>
    <xf numFmtId="0" fontId="25" fillId="7" borderId="2" xfId="0" applyFont="1" applyFill="1" applyBorder="1" applyAlignment="1">
      <alignment horizontal="center" vertical="center" wrapText="1"/>
    </xf>
    <xf numFmtId="0" fontId="26" fillId="7" borderId="2" xfId="0" applyFont="1" applyFill="1" applyBorder="1" applyAlignment="1">
      <alignment vertical="center"/>
    </xf>
    <xf numFmtId="0" fontId="27" fillId="7" borderId="2" xfId="0" applyFont="1" applyFill="1" applyBorder="1" applyAlignment="1">
      <alignment vertical="center"/>
    </xf>
    <xf numFmtId="0" fontId="24" fillId="7" borderId="2" xfId="0" applyFont="1" applyFill="1" applyBorder="1" applyAlignment="1">
      <alignment horizontal="center" vertical="center"/>
    </xf>
    <xf numFmtId="164" fontId="20" fillId="7" borderId="2" xfId="0" applyNumberFormat="1" applyFont="1" applyFill="1" applyBorder="1" applyAlignment="1">
      <alignment vertical="center"/>
    </xf>
    <xf numFmtId="14" fontId="20" fillId="7" borderId="2" xfId="0" applyNumberFormat="1" applyFont="1" applyFill="1" applyBorder="1" applyAlignment="1">
      <alignment vertical="center"/>
    </xf>
    <xf numFmtId="0" fontId="28" fillId="7" borderId="2" xfId="0" applyFont="1" applyFill="1" applyBorder="1" applyAlignment="1">
      <alignment vertical="center"/>
    </xf>
    <xf numFmtId="164" fontId="24" fillId="7" borderId="2" xfId="0" applyNumberFormat="1" applyFont="1" applyFill="1" applyBorder="1" applyAlignment="1">
      <alignment horizontal="right" vertical="center"/>
    </xf>
    <xf numFmtId="0" fontId="25" fillId="5" borderId="2" xfId="0" applyFont="1" applyFill="1" applyBorder="1" applyAlignment="1">
      <alignment horizontal="center" vertical="center" wrapText="1"/>
    </xf>
    <xf numFmtId="0" fontId="26" fillId="5" borderId="2" xfId="0" applyFont="1" applyFill="1" applyBorder="1" applyAlignment="1">
      <alignment vertical="center"/>
    </xf>
    <xf numFmtId="0" fontId="27" fillId="5" borderId="2" xfId="0" applyFont="1" applyFill="1" applyBorder="1" applyAlignment="1">
      <alignment vertical="center"/>
    </xf>
    <xf numFmtId="0" fontId="22" fillId="7" borderId="2" xfId="0" applyFont="1" applyFill="1" applyBorder="1" applyAlignment="1">
      <alignment vertical="center"/>
    </xf>
    <xf numFmtId="0" fontId="24" fillId="7" borderId="2" xfId="0" applyFont="1" applyFill="1" applyBorder="1" applyAlignment="1">
      <alignment vertical="center"/>
    </xf>
    <xf numFmtId="0" fontId="28" fillId="5" borderId="2" xfId="0" applyFont="1" applyFill="1" applyBorder="1" applyAlignment="1">
      <alignment vertical="center"/>
    </xf>
    <xf numFmtId="164" fontId="24" fillId="5" borderId="2" xfId="0" applyNumberFormat="1" applyFont="1" applyFill="1" applyBorder="1" applyAlignment="1">
      <alignment horizontal="right" vertical="center"/>
    </xf>
    <xf numFmtId="165" fontId="24" fillId="5" borderId="2" xfId="0" applyNumberFormat="1" applyFont="1" applyFill="1" applyBorder="1" applyAlignment="1">
      <alignment horizontal="right" vertical="center"/>
    </xf>
    <xf numFmtId="0" fontId="24" fillId="5" borderId="2" xfId="0" applyFont="1" applyFill="1" applyBorder="1" applyAlignment="1">
      <alignment vertical="top"/>
    </xf>
    <xf numFmtId="0" fontId="29" fillId="0" borderId="2" xfId="0" applyFont="1" applyBorder="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sheetData sheetId="5">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6"/>
      <sheetData sheetId="7"/>
      <sheetData sheetId="8"/>
    </sheetDataSet>
  </externalBook>
</externalLink>
</file>

<file path=xl/tables/table1.xml><?xml version="1.0" encoding="utf-8"?>
<table xmlns="http://schemas.openxmlformats.org/spreadsheetml/2006/main" id="1" name="Tabla" displayName="Tabla" ref="A1:S136">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54"/>
  <sheetViews>
    <sheetView tabSelected="1" workbookViewId="0">
      <pane ySplit="1" topLeftCell="A100" activePane="bottomLeft" state="frozen"/>
      <selection pane="bottomLeft" activeCell="A133" sqref="A133"/>
    </sheetView>
  </sheetViews>
  <sheetFormatPr baseColWidth="10" defaultColWidth="12.625" defaultRowHeight="15" customHeight="1"/>
  <cols>
    <col min="1" max="1" width="14.125" style="14" customWidth="1"/>
    <col min="2" max="2" width="19.375" style="14" customWidth="1"/>
    <col min="3" max="3" width="41.25" style="14" customWidth="1"/>
    <col min="4" max="4" width="27.75" style="14" customWidth="1"/>
    <col min="5" max="5" width="27.5" style="14" customWidth="1"/>
    <col min="6" max="6" width="19.125" style="14" customWidth="1"/>
    <col min="7" max="7" width="7.625" style="14" customWidth="1"/>
    <col min="8" max="8" width="16" style="14" customWidth="1"/>
    <col min="9" max="9" width="11.875" style="14" customWidth="1"/>
    <col min="10" max="10" width="11.375" style="14" customWidth="1"/>
    <col min="11" max="11" width="17" style="14" customWidth="1"/>
    <col min="12" max="12" width="13.75" style="14" customWidth="1"/>
    <col min="13" max="13" width="15.25" style="14" customWidth="1"/>
    <col min="14" max="14" width="17.5" style="14" customWidth="1"/>
    <col min="15" max="15" width="12.375" style="14" customWidth="1"/>
    <col min="16" max="16" width="15.875" style="14" customWidth="1"/>
    <col min="17" max="17" width="55.875" style="14" customWidth="1"/>
    <col min="18" max="18" width="14.5" style="14" customWidth="1"/>
    <col min="19" max="19" width="45.375" style="14" hidden="1" customWidth="1"/>
    <col min="20" max="16384" width="12.625" style="14"/>
  </cols>
  <sheetData>
    <row r="1" spans="1:19" ht="40.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9" t="s">
        <v>15</v>
      </c>
      <c r="Q1" s="12" t="s">
        <v>16</v>
      </c>
      <c r="R1" s="5" t="s">
        <v>17</v>
      </c>
      <c r="S1" s="13" t="s">
        <v>18</v>
      </c>
    </row>
    <row r="2" spans="1:19" ht="75.75" customHeight="1">
      <c r="A2" s="15" t="s">
        <v>19</v>
      </c>
      <c r="B2" s="16" t="s">
        <v>20</v>
      </c>
      <c r="C2" s="17" t="s">
        <v>21</v>
      </c>
      <c r="D2" s="18"/>
      <c r="E2" s="19" t="s">
        <v>22</v>
      </c>
      <c r="F2" s="18" t="s">
        <v>23</v>
      </c>
      <c r="G2" s="20">
        <v>100</v>
      </c>
      <c r="H2" s="21">
        <f>IF(OR(J2="",K2="",K2&lt;J2),0,NETWORKDAYS(J2,K2,[1]fESTIVOS!$A$2:$A$53))</f>
        <v>90</v>
      </c>
      <c r="I2" s="22"/>
      <c r="J2" s="23">
        <v>45691</v>
      </c>
      <c r="K2" s="24">
        <v>45821</v>
      </c>
      <c r="L2" s="23">
        <v>45824</v>
      </c>
      <c r="M2" s="25">
        <f ca="1">IF(OR(J2="",AND(L2="",TODAY()&lt;J2),AND(L2&lt;&gt;"",L2&lt;J2)),0,
   IF(L2="",
      NETWORKDAYS(J2,TODAY(),[1]fESTIVOS!$A$2:$A$53),
      NETWORKDAYS(J2,L2,[1]fESTIVOS!$A$2:$A$53)
   )
)</f>
        <v>91</v>
      </c>
      <c r="N2" s="26"/>
      <c r="O2" s="26"/>
      <c r="P2" s="27">
        <v>45843</v>
      </c>
      <c r="Q2" s="28" t="s">
        <v>24</v>
      </c>
      <c r="R2" s="29" t="s">
        <v>25</v>
      </c>
      <c r="S2" s="30"/>
    </row>
    <row r="3" spans="1:19" ht="75.75" customHeight="1">
      <c r="A3" s="15" t="s">
        <v>19</v>
      </c>
      <c r="B3" s="16" t="s">
        <v>26</v>
      </c>
      <c r="C3" s="17" t="s">
        <v>27</v>
      </c>
      <c r="D3" s="18"/>
      <c r="E3" s="19" t="s">
        <v>22</v>
      </c>
      <c r="F3" s="18" t="s">
        <v>23</v>
      </c>
      <c r="G3" s="20">
        <v>100</v>
      </c>
      <c r="H3" s="21">
        <f>IF(OR(J3="",K3="",K3&lt;J3),0,NETWORKDAYS(J3,K3,[1]fESTIVOS!$A$2:$A$53))</f>
        <v>3</v>
      </c>
      <c r="I3" s="22">
        <v>45824</v>
      </c>
      <c r="J3" s="23">
        <v>45824</v>
      </c>
      <c r="K3" s="24">
        <v>45826</v>
      </c>
      <c r="L3" s="23">
        <v>45827</v>
      </c>
      <c r="M3" s="25">
        <f ca="1">IF(OR(J3="",AND(L3="",TODAY()&lt;J3),AND(L3&lt;&gt;"",L3&lt;J3)),0,
   IF(L3="",
      NETWORKDAYS(J3,TODAY(),[1]fESTIVOS!$A$2:$A$53),
      NETWORKDAYS(J3,L3,[1]fESTIVOS!$A$2:$A$53)
   )
)</f>
        <v>4</v>
      </c>
      <c r="N3" s="26"/>
      <c r="O3" s="26"/>
      <c r="P3" s="27">
        <v>45843</v>
      </c>
      <c r="Q3" s="31" t="s">
        <v>28</v>
      </c>
      <c r="R3" s="29" t="s">
        <v>25</v>
      </c>
      <c r="S3" s="30"/>
    </row>
    <row r="4" spans="1:19" ht="154.5" customHeight="1">
      <c r="A4" s="15" t="s">
        <v>19</v>
      </c>
      <c r="B4" s="16" t="s">
        <v>29</v>
      </c>
      <c r="C4" s="32" t="s">
        <v>30</v>
      </c>
      <c r="D4" s="33"/>
      <c r="E4" s="19" t="s">
        <v>22</v>
      </c>
      <c r="F4" s="33" t="s">
        <v>23</v>
      </c>
      <c r="G4" s="20">
        <v>100</v>
      </c>
      <c r="H4" s="21">
        <f>IF(OR(J4="",K4="",K4&lt;J4),0,NETWORKDAYS(J4,K4,[1]fESTIVOS!$A$2:$A$53))</f>
        <v>4</v>
      </c>
      <c r="I4" s="26"/>
      <c r="J4" s="23">
        <v>45827</v>
      </c>
      <c r="K4" s="24">
        <v>45833</v>
      </c>
      <c r="L4" s="23">
        <v>45841</v>
      </c>
      <c r="M4" s="25">
        <f ca="1">IF(OR(J4="",AND(L4="",TODAY()&lt;J4),AND(L4&lt;&gt;"",L4&lt;J4)),0,
   IF(L4="",
      NETWORKDAYS(J4,TODAY(),[1]fESTIVOS!$A$2:$A$53),
      NETWORKDAYS(J4,L4,[1]fESTIVOS!$A$2:$A$53)
   )
)</f>
        <v>9</v>
      </c>
      <c r="N4" s="26"/>
      <c r="O4" s="26"/>
      <c r="P4" s="27">
        <v>45843</v>
      </c>
      <c r="Q4" s="34" t="s">
        <v>31</v>
      </c>
      <c r="R4" s="29" t="s">
        <v>25</v>
      </c>
      <c r="S4" s="34" t="s">
        <v>32</v>
      </c>
    </row>
    <row r="5" spans="1:19" ht="29.25" customHeight="1">
      <c r="A5" s="15" t="s">
        <v>19</v>
      </c>
      <c r="B5" s="16" t="s">
        <v>33</v>
      </c>
      <c r="C5" s="35" t="s">
        <v>34</v>
      </c>
      <c r="D5" s="18"/>
      <c r="E5" s="19" t="s">
        <v>22</v>
      </c>
      <c r="F5" s="18" t="s">
        <v>23</v>
      </c>
      <c r="G5" s="20">
        <v>100</v>
      </c>
      <c r="H5" s="21">
        <f>IF(OR(J5="",K5="",K5&lt;J5),0,NETWORKDAYS(J5,K5,[1]fESTIVOS!$A$2:$A$53))</f>
        <v>3</v>
      </c>
      <c r="I5" s="26">
        <v>45817</v>
      </c>
      <c r="J5" s="23">
        <v>45817</v>
      </c>
      <c r="K5" s="24">
        <v>45819</v>
      </c>
      <c r="L5" s="36">
        <v>45820</v>
      </c>
      <c r="M5" s="25">
        <f ca="1">IF(OR(J5="",AND(L5="",TODAY()&lt;J5),AND(L5&lt;&gt;"",L5&lt;J5)),0,
   IF(L5="",
      NETWORKDAYS(J5,TODAY(),[1]fESTIVOS!$A$2:$A$53),
      NETWORKDAYS(J5,L5,[1]fESTIVOS!$A$2:$A$53)
   )
)</f>
        <v>4</v>
      </c>
      <c r="N5" s="26"/>
      <c r="O5" s="26"/>
      <c r="P5" s="27">
        <v>45843</v>
      </c>
      <c r="Q5" s="34" t="s">
        <v>35</v>
      </c>
      <c r="R5" s="29" t="s">
        <v>25</v>
      </c>
      <c r="S5" s="34" t="s">
        <v>32</v>
      </c>
    </row>
    <row r="6" spans="1:19" ht="29.25" customHeight="1">
      <c r="A6" s="15" t="s">
        <v>19</v>
      </c>
      <c r="B6" s="16" t="s">
        <v>36</v>
      </c>
      <c r="C6" s="35" t="s">
        <v>37</v>
      </c>
      <c r="D6" s="18"/>
      <c r="E6" s="19" t="s">
        <v>22</v>
      </c>
      <c r="F6" s="18" t="s">
        <v>23</v>
      </c>
      <c r="G6" s="20">
        <v>100</v>
      </c>
      <c r="H6" s="21">
        <f>IF(OR(J6="",K6="",K6&lt;J6),0,NETWORKDAYS(J6,K6,[1]fESTIVOS!$A$2:$A$53))</f>
        <v>2</v>
      </c>
      <c r="I6" s="26">
        <v>45817</v>
      </c>
      <c r="J6" s="23">
        <v>45841</v>
      </c>
      <c r="K6" s="24">
        <v>45842</v>
      </c>
      <c r="L6" s="23">
        <v>45842</v>
      </c>
      <c r="M6" s="25">
        <f ca="1">IF(OR(J6="",AND(L6="",TODAY()&lt;J6),AND(L6&lt;&gt;"",L6&lt;J6)),0,
   IF(L6="",
      NETWORKDAYS(J6,TODAY(),[1]fESTIVOS!$A$2:$A$53),
      NETWORKDAYS(J6,L6,[1]fESTIVOS!$A$2:$A$53)
   )
)</f>
        <v>2</v>
      </c>
      <c r="N6" s="26"/>
      <c r="O6" s="26"/>
      <c r="P6" s="27">
        <v>45852</v>
      </c>
      <c r="Q6" s="30" t="s">
        <v>38</v>
      </c>
      <c r="R6" s="29" t="s">
        <v>25</v>
      </c>
      <c r="S6" s="30" t="s">
        <v>39</v>
      </c>
    </row>
    <row r="7" spans="1:19" ht="29.25" customHeight="1">
      <c r="A7" s="15" t="s">
        <v>19</v>
      </c>
      <c r="B7" s="37" t="s">
        <v>40</v>
      </c>
      <c r="C7" s="38" t="s">
        <v>41</v>
      </c>
      <c r="D7" s="18"/>
      <c r="E7" s="19" t="s">
        <v>42</v>
      </c>
      <c r="F7" s="18" t="s">
        <v>23</v>
      </c>
      <c r="G7" s="20">
        <v>100</v>
      </c>
      <c r="H7" s="21">
        <f>IF(OR(J7="",K7="",K7&lt;J7),0,NETWORKDAYS(J7,K7,[1]fESTIVOS!$A$2:$A$53))</f>
        <v>0</v>
      </c>
      <c r="I7" s="26">
        <v>45817</v>
      </c>
      <c r="J7" s="39">
        <v>45845</v>
      </c>
      <c r="K7" s="24"/>
      <c r="L7" s="23">
        <v>45847</v>
      </c>
      <c r="M7" s="25">
        <f ca="1">IF(OR(J7="",AND(L7="",TODAY()&lt;J7),AND(L7&lt;&gt;"",L7&lt;J7)),0,
   IF(L7="",
      NETWORKDAYS(J7,TODAY(),[1]fESTIVOS!$A$2:$A$53),
      NETWORKDAYS(J7,L7,[1]fESTIVOS!$A$2:$A$53)
   )
)</f>
        <v>3</v>
      </c>
      <c r="N7" s="26"/>
      <c r="O7" s="26"/>
      <c r="P7" s="27">
        <v>45852</v>
      </c>
      <c r="Q7" s="30" t="s">
        <v>43</v>
      </c>
      <c r="R7" s="29" t="s">
        <v>25</v>
      </c>
      <c r="S7" s="34" t="s">
        <v>44</v>
      </c>
    </row>
    <row r="8" spans="1:19" ht="29.25" customHeight="1">
      <c r="A8" s="15" t="s">
        <v>19</v>
      </c>
      <c r="B8" s="40" t="s">
        <v>45</v>
      </c>
      <c r="C8" s="41" t="s">
        <v>46</v>
      </c>
      <c r="D8" s="18"/>
      <c r="E8" s="42" t="s">
        <v>42</v>
      </c>
      <c r="F8" s="18" t="s">
        <v>23</v>
      </c>
      <c r="G8" s="43">
        <v>100</v>
      </c>
      <c r="H8" s="21">
        <f>IF(OR(J8="",K8="",K8&lt;J8),0,NETWORKDAYS(J8,K8,[1]fESTIVOS!$A$2:$A$53))</f>
        <v>0</v>
      </c>
      <c r="I8" s="44">
        <v>45834</v>
      </c>
      <c r="J8" s="24">
        <v>45848</v>
      </c>
      <c r="K8" s="45"/>
      <c r="L8" s="24">
        <v>45822</v>
      </c>
      <c r="M8" s="25">
        <f ca="1">IF(OR(J8="",AND(L8="",TODAY()&lt;J8),AND(L8&lt;&gt;"",L8&lt;J8)),0,
   IF(L8="",
      NETWORKDAYS(J8,TODAY(),[1]fESTIVOS!$A$2:$A$53),
      NETWORKDAYS(J8,L8,[1]fESTIVOS!$A$2:$A$53)
   )
)</f>
        <v>0</v>
      </c>
      <c r="N8" s="46"/>
      <c r="O8" s="46"/>
      <c r="P8" s="27">
        <v>45852</v>
      </c>
      <c r="Q8" s="47" t="s">
        <v>47</v>
      </c>
      <c r="R8" s="29" t="s">
        <v>25</v>
      </c>
      <c r="S8" s="47" t="s">
        <v>48</v>
      </c>
    </row>
    <row r="9" spans="1:19" ht="29.25" customHeight="1">
      <c r="A9" s="15" t="s">
        <v>19</v>
      </c>
      <c r="B9" s="40" t="s">
        <v>49</v>
      </c>
      <c r="C9" s="41" t="s">
        <v>50</v>
      </c>
      <c r="D9" s="18"/>
      <c r="E9" s="42" t="s">
        <v>42</v>
      </c>
      <c r="F9" s="18" t="s">
        <v>23</v>
      </c>
      <c r="G9" s="43">
        <v>100</v>
      </c>
      <c r="H9" s="21">
        <f>IF(OR(J9="",K9="",K9&lt;J9),0,NETWORKDAYS(J9,K9,[1]fESTIVOS!$A$2:$A$53))</f>
        <v>0</v>
      </c>
      <c r="I9" s="44">
        <v>45834</v>
      </c>
      <c r="J9" s="24">
        <v>45848</v>
      </c>
      <c r="K9" s="24"/>
      <c r="L9" s="24">
        <v>45848</v>
      </c>
      <c r="M9" s="25">
        <f ca="1">IF(OR(J9="",AND(L9="",TODAY()&lt;J9),AND(L9&lt;&gt;"",L9&lt;J9)),0,
   IF(L9="",
      NETWORKDAYS(J9,TODAY(),[1]fESTIVOS!$A$2:$A$53),
      NETWORKDAYS(J9,L9,[1]fESTIVOS!$A$2:$A$53)
   )
)</f>
        <v>1</v>
      </c>
      <c r="N9" s="46"/>
      <c r="O9" s="46"/>
      <c r="P9" s="27"/>
      <c r="Q9" s="47" t="s">
        <v>51</v>
      </c>
      <c r="R9" s="29" t="s">
        <v>25</v>
      </c>
      <c r="S9" s="47" t="s">
        <v>52</v>
      </c>
    </row>
    <row r="10" spans="1:19" ht="29.25" customHeight="1">
      <c r="A10" s="15" t="s">
        <v>19</v>
      </c>
      <c r="B10" s="40" t="s">
        <v>53</v>
      </c>
      <c r="C10" s="48" t="s">
        <v>54</v>
      </c>
      <c r="D10" s="18"/>
      <c r="E10" s="42" t="s">
        <v>42</v>
      </c>
      <c r="F10" s="18" t="s">
        <v>23</v>
      </c>
      <c r="G10" s="43">
        <v>100</v>
      </c>
      <c r="H10" s="21">
        <f>IF(OR(J10="",K10="",K10&lt;J10),0,NETWORKDAYS(J10,K10,[1]fESTIVOS!$A$2:$A$53))</f>
        <v>0</v>
      </c>
      <c r="I10" s="44">
        <v>45834</v>
      </c>
      <c r="J10" s="24">
        <v>45854</v>
      </c>
      <c r="K10" s="49"/>
      <c r="L10" s="24">
        <v>45855</v>
      </c>
      <c r="M10" s="25">
        <f ca="1">IF(OR(J10="",AND(L10="",TODAY()&lt;J10),AND(L10&lt;&gt;"",L10&lt;J10)),0,
   IF(L10="",
      NETWORKDAYS(J10,TODAY(),[1]fESTIVOS!$A$2:$A$53),
      NETWORKDAYS(J10,L10,[1]fESTIVOS!$A$2:$A$53)
   )
)</f>
        <v>2</v>
      </c>
      <c r="N10" s="46"/>
      <c r="O10" s="46"/>
      <c r="P10" s="27">
        <v>45855</v>
      </c>
      <c r="Q10" s="47" t="s">
        <v>55</v>
      </c>
      <c r="R10" s="29" t="s">
        <v>25</v>
      </c>
      <c r="S10" s="47" t="s">
        <v>56</v>
      </c>
    </row>
    <row r="11" spans="1:19" ht="29.25" customHeight="1">
      <c r="A11" s="15" t="s">
        <v>19</v>
      </c>
      <c r="B11" s="40" t="s">
        <v>57</v>
      </c>
      <c r="C11" s="48" t="s">
        <v>58</v>
      </c>
      <c r="D11" s="18"/>
      <c r="E11" s="42" t="s">
        <v>42</v>
      </c>
      <c r="F11" s="18" t="s">
        <v>23</v>
      </c>
      <c r="G11" s="43">
        <v>100</v>
      </c>
      <c r="H11" s="21">
        <f>IF(OR(J11="",K11="",K11&lt;J11),0,NETWORKDAYS(J11,K11,[1]fESTIVOS!$A$2:$A$53))</f>
        <v>0</v>
      </c>
      <c r="I11" s="44">
        <v>45834</v>
      </c>
      <c r="J11" s="24">
        <v>45848</v>
      </c>
      <c r="K11" s="49"/>
      <c r="L11" s="24">
        <v>45818</v>
      </c>
      <c r="M11" s="25">
        <f ca="1">IF(OR(J11="",AND(L11="",TODAY()&lt;J11),AND(L11&lt;&gt;"",L11&lt;J11)),0,
   IF(L11="",
      NETWORKDAYS(J11,TODAY(),[1]fESTIVOS!$A$2:$A$53),
      NETWORKDAYS(J11,L11,[1]fESTIVOS!$A$2:$A$53)
   )
)</f>
        <v>0</v>
      </c>
      <c r="N11" s="46"/>
      <c r="O11" s="46"/>
      <c r="P11" s="27">
        <v>45852</v>
      </c>
      <c r="Q11" s="47" t="s">
        <v>59</v>
      </c>
      <c r="R11" s="29" t="s">
        <v>25</v>
      </c>
      <c r="S11" s="47" t="s">
        <v>60</v>
      </c>
    </row>
    <row r="12" spans="1:19" ht="29.25" customHeight="1">
      <c r="A12" s="15" t="s">
        <v>19</v>
      </c>
      <c r="B12" s="40" t="s">
        <v>61</v>
      </c>
      <c r="C12" s="50" t="s">
        <v>62</v>
      </c>
      <c r="D12" s="51"/>
      <c r="E12" s="42" t="s">
        <v>42</v>
      </c>
      <c r="F12" s="51" t="s">
        <v>23</v>
      </c>
      <c r="G12" s="43">
        <v>100</v>
      </c>
      <c r="H12" s="21">
        <f>IF(OR(J12="",K12="",K12&lt;J12),0,NETWORKDAYS(J12,K12,[1]fESTIVOS!$A$2:$A$53))</f>
        <v>0</v>
      </c>
      <c r="I12" s="44">
        <v>45853</v>
      </c>
      <c r="J12" s="24">
        <v>45853</v>
      </c>
      <c r="K12" s="49"/>
      <c r="L12" s="24">
        <v>45854</v>
      </c>
      <c r="M12" s="25">
        <f ca="1">IF(OR(J12="",AND(L12="",TODAY()&lt;J12),AND(L12&lt;&gt;"",L12&lt;J12)),0,
   IF(L12="",
      NETWORKDAYS(J12,TODAY(),[1]fESTIVOS!$A$2:$A$53),
      NETWORKDAYS(J12,L12,[1]fESTIVOS!$A$2:$A$53)
   )
)</f>
        <v>2</v>
      </c>
      <c r="N12" s="46"/>
      <c r="O12" s="46"/>
      <c r="P12" s="27"/>
      <c r="Q12" s="47" t="s">
        <v>63</v>
      </c>
      <c r="R12" s="29" t="s">
        <v>25</v>
      </c>
      <c r="S12" s="47"/>
    </row>
    <row r="13" spans="1:19" ht="39" customHeight="1">
      <c r="A13" s="15" t="s">
        <v>19</v>
      </c>
      <c r="B13" s="16" t="s">
        <v>64</v>
      </c>
      <c r="C13" s="41" t="s">
        <v>65</v>
      </c>
      <c r="D13" s="33"/>
      <c r="E13" s="19" t="s">
        <v>22</v>
      </c>
      <c r="F13" s="18" t="s">
        <v>23</v>
      </c>
      <c r="G13" s="43">
        <v>100</v>
      </c>
      <c r="H13" s="21">
        <f>IF(OR(J13="",K13="",K13&lt;J13),0,NETWORKDAYS(J13,K13,[1]fESTIVOS!$A$2:$A$53))</f>
        <v>2</v>
      </c>
      <c r="I13" s="44">
        <v>45855</v>
      </c>
      <c r="J13" s="49">
        <v>45855</v>
      </c>
      <c r="K13" s="49">
        <v>45857</v>
      </c>
      <c r="L13" s="49">
        <v>45862</v>
      </c>
      <c r="M13" s="25">
        <f ca="1">IF(OR(J13="",AND(L13="",TODAY()&lt;J13),AND(L13&lt;&gt;"",L13&lt;J13)),0,
   IF(L13="",
      NETWORKDAYS(J13,TODAY(),[1]fESTIVOS!$A$2:$A$53),
      NETWORKDAYS(J13,L13,[1]fESTIVOS!$A$2:$A$53)
   )
)</f>
        <v>6</v>
      </c>
      <c r="N13" s="44"/>
      <c r="O13" s="44"/>
      <c r="P13" s="52"/>
      <c r="Q13" s="51" t="s">
        <v>66</v>
      </c>
      <c r="R13" s="29" t="s">
        <v>25</v>
      </c>
      <c r="S13" s="51" t="s">
        <v>67</v>
      </c>
    </row>
    <row r="14" spans="1:19" ht="29.25" customHeight="1">
      <c r="A14" s="15" t="s">
        <v>68</v>
      </c>
      <c r="B14" s="16" t="s">
        <v>69</v>
      </c>
      <c r="C14" s="35" t="s">
        <v>70</v>
      </c>
      <c r="D14" s="18"/>
      <c r="E14" s="19" t="s">
        <v>22</v>
      </c>
      <c r="F14" s="18" t="s">
        <v>23</v>
      </c>
      <c r="G14" s="43">
        <v>100</v>
      </c>
      <c r="H14" s="21">
        <f>IF(OR(J14="",K14="",K14&lt;J14),0,NETWORKDAYS(J14,K14,[1]fESTIVOS!$A$2:$A$53))</f>
        <v>26</v>
      </c>
      <c r="I14" s="44"/>
      <c r="J14" s="49">
        <v>45859</v>
      </c>
      <c r="K14" s="23">
        <v>45896</v>
      </c>
      <c r="L14" s="23">
        <v>45944</v>
      </c>
      <c r="M14" s="25">
        <f ca="1">IF(OR(J14="",AND(L14="",TODAY()&lt;J14),AND(L14&lt;&gt;"",L14&lt;J14)),0,
   IF(L14="",
      NETWORKDAYS(J14,TODAY(),[1]fESTIVOS!$A$2:$A$53),
      NETWORKDAYS(J14,L14,[1]fESTIVOS!$A$2:$A$53)
   )
)</f>
        <v>59</v>
      </c>
      <c r="N14" s="44"/>
      <c r="O14" s="44"/>
      <c r="P14" s="52"/>
      <c r="Q14" s="53" t="s">
        <v>71</v>
      </c>
      <c r="R14" s="29" t="s">
        <v>25</v>
      </c>
      <c r="S14" s="53" t="s">
        <v>72</v>
      </c>
    </row>
    <row r="15" spans="1:19" ht="29.25" customHeight="1">
      <c r="A15" s="15" t="s">
        <v>19</v>
      </c>
      <c r="B15" s="16" t="s">
        <v>73</v>
      </c>
      <c r="C15" s="35" t="s">
        <v>74</v>
      </c>
      <c r="D15" s="18"/>
      <c r="E15" s="19" t="s">
        <v>22</v>
      </c>
      <c r="F15" s="18" t="s">
        <v>23</v>
      </c>
      <c r="G15" s="43">
        <v>100</v>
      </c>
      <c r="H15" s="21">
        <f>IF(OR(J15="",K15="",K15&lt;J15),0,NETWORKDAYS(J15,K15,[1]fESTIVOS!$A$2:$A$53))</f>
        <v>4</v>
      </c>
      <c r="I15" s="44">
        <v>45940</v>
      </c>
      <c r="J15" s="49">
        <v>45940</v>
      </c>
      <c r="K15" s="23">
        <v>45946</v>
      </c>
      <c r="L15" s="23">
        <v>45951</v>
      </c>
      <c r="M15" s="25">
        <f ca="1">IF(OR(J15="",AND(L15="",TODAY()&lt;J15),AND(L15&lt;&gt;"",L15&lt;J15)),0,
   IF(L15="",
      NETWORKDAYS(J15,TODAY(),[1]fESTIVOS!$A$2:$A$53),
      NETWORKDAYS(J15,L15,[1]fESTIVOS!$A$2:$A$53)
   )
)</f>
        <v>7</v>
      </c>
      <c r="N15" s="44"/>
      <c r="O15" s="44"/>
      <c r="P15" s="52"/>
      <c r="Q15" s="53" t="s">
        <v>75</v>
      </c>
      <c r="R15" s="29" t="s">
        <v>25</v>
      </c>
      <c r="S15" s="53"/>
    </row>
    <row r="16" spans="1:19" ht="29.25" customHeight="1">
      <c r="A16" s="15" t="s">
        <v>19</v>
      </c>
      <c r="B16" s="16" t="s">
        <v>76</v>
      </c>
      <c r="C16" s="41" t="s">
        <v>77</v>
      </c>
      <c r="D16" s="18"/>
      <c r="E16" s="19" t="s">
        <v>22</v>
      </c>
      <c r="F16" s="18" t="s">
        <v>23</v>
      </c>
      <c r="G16" s="43">
        <v>100</v>
      </c>
      <c r="H16" s="21">
        <f>IF(OR(J16="",K16="",K16&lt;J16),0,NETWORKDAYS(J16,K16,[1]fESTIVOS!$A$2:$A$53))</f>
        <v>0</v>
      </c>
      <c r="I16" s="44">
        <v>45855</v>
      </c>
      <c r="J16" s="49">
        <v>45855</v>
      </c>
      <c r="K16" s="23"/>
      <c r="L16" s="23">
        <v>45860</v>
      </c>
      <c r="M16" s="25">
        <f ca="1">IF(OR(J16="",AND(L16="",TODAY()&lt;J16),AND(L16&lt;&gt;"",L16&lt;J16)),0,
   IF(L16="",
      NETWORKDAYS(J16,TODAY(),[1]fESTIVOS!$A$2:$A$53),
      NETWORKDAYS(J16,L16,[1]fESTIVOS!$A$2:$A$53)
   )
)</f>
        <v>4</v>
      </c>
      <c r="N16" s="44"/>
      <c r="O16" s="44"/>
      <c r="P16" s="52">
        <v>45885</v>
      </c>
      <c r="Q16" s="45" t="s">
        <v>78</v>
      </c>
      <c r="R16" s="29" t="s">
        <v>25</v>
      </c>
      <c r="S16" s="45"/>
    </row>
    <row r="17" spans="1:19" ht="29.25" customHeight="1">
      <c r="A17" s="54" t="s">
        <v>79</v>
      </c>
      <c r="B17" s="16" t="s">
        <v>80</v>
      </c>
      <c r="C17" s="41" t="s">
        <v>81</v>
      </c>
      <c r="D17" s="18"/>
      <c r="E17" s="19" t="s">
        <v>22</v>
      </c>
      <c r="F17" s="18" t="s">
        <v>23</v>
      </c>
      <c r="G17" s="43">
        <v>100</v>
      </c>
      <c r="H17" s="21">
        <f>IF(OR(J17="",K17="",K17&lt;J17),0,NETWORKDAYS(J17,K17,[1]fESTIVOS!$A$2:$A$53))</f>
        <v>1</v>
      </c>
      <c r="I17" s="44">
        <v>45863</v>
      </c>
      <c r="J17" s="49">
        <v>45863</v>
      </c>
      <c r="K17" s="23">
        <v>45863</v>
      </c>
      <c r="L17" s="49">
        <v>45885</v>
      </c>
      <c r="M17" s="25">
        <f ca="1">IF(OR(J17="",AND(L17="",TODAY()&lt;J17),AND(L17&lt;&gt;"",L17&lt;J17)),0,
   IF(L17="",
      NETWORKDAYS(J17,TODAY(),[1]fESTIVOS!$A$2:$A$53),
      NETWORKDAYS(J17,L17,[1]fESTIVOS!$A$2:$A$53)
   )
)</f>
        <v>15</v>
      </c>
      <c r="N17" s="44"/>
      <c r="O17" s="44"/>
      <c r="P17" s="52"/>
      <c r="Q17" s="45" t="s">
        <v>82</v>
      </c>
      <c r="R17" s="29" t="s">
        <v>25</v>
      </c>
      <c r="S17" s="45"/>
    </row>
    <row r="18" spans="1:19" ht="29.25" customHeight="1">
      <c r="A18" s="15" t="s">
        <v>19</v>
      </c>
      <c r="B18" s="16" t="s">
        <v>83</v>
      </c>
      <c r="C18" s="41" t="s">
        <v>84</v>
      </c>
      <c r="D18" s="55"/>
      <c r="E18" s="19" t="s">
        <v>22</v>
      </c>
      <c r="F18" s="55" t="s">
        <v>23</v>
      </c>
      <c r="G18" s="43">
        <v>100</v>
      </c>
      <c r="H18" s="21">
        <f>IF(OR(J18="",K18="",K18&lt;J18),0,NETWORKDAYS(J18,K18,[1]fESTIVOS!$A$2:$A$53))</f>
        <v>2</v>
      </c>
      <c r="I18" s="44">
        <v>45863</v>
      </c>
      <c r="J18" s="49">
        <v>45866</v>
      </c>
      <c r="K18" s="49">
        <v>45867</v>
      </c>
      <c r="L18" s="49">
        <v>45870</v>
      </c>
      <c r="M18" s="25">
        <f ca="1">IF(OR(J18="",AND(L18="",TODAY()&lt;J18),AND(L18&lt;&gt;"",L18&lt;J18)),0,
   IF(L18="",
      NETWORKDAYS(J18,TODAY(),[1]fESTIVOS!$A$2:$A$53),
      NETWORKDAYS(J18,L18,[1]fESTIVOS!$A$2:$A$53)
   )
)</f>
        <v>5</v>
      </c>
      <c r="N18" s="44"/>
      <c r="O18" s="44"/>
      <c r="P18" s="52">
        <v>45885</v>
      </c>
      <c r="Q18" s="31" t="s">
        <v>85</v>
      </c>
      <c r="R18" s="29" t="s">
        <v>25</v>
      </c>
      <c r="S18" s="31"/>
    </row>
    <row r="19" spans="1:19" ht="29.25" customHeight="1">
      <c r="A19" s="15" t="s">
        <v>19</v>
      </c>
      <c r="B19" s="16" t="s">
        <v>86</v>
      </c>
      <c r="C19" s="41" t="s">
        <v>87</v>
      </c>
      <c r="D19" s="51"/>
      <c r="E19" s="19" t="s">
        <v>88</v>
      </c>
      <c r="F19" s="51" t="s">
        <v>23</v>
      </c>
      <c r="G19" s="43">
        <v>100</v>
      </c>
      <c r="H19" s="21">
        <f>IF(OR(J19="",K19="",K19&lt;J19),0,NETWORKDAYS(J19,K19,[1]fESTIVOS!$A$2:$A$53))</f>
        <v>1</v>
      </c>
      <c r="I19" s="44">
        <v>45870</v>
      </c>
      <c r="J19" s="49">
        <v>45870</v>
      </c>
      <c r="K19" s="49">
        <v>45870</v>
      </c>
      <c r="L19" s="49">
        <v>45877</v>
      </c>
      <c r="M19" s="25">
        <f ca="1">IF(OR(J19="",AND(L19="",TODAY()&lt;J19),AND(L19&lt;&gt;"",L19&lt;J19)),0,
   IF(L19="",
      NETWORKDAYS(J19,TODAY(),[1]fESTIVOS!$A$2:$A$53),
      NETWORKDAYS(J19,L19,[1]fESTIVOS!$A$2:$A$53)
   )
)</f>
        <v>5</v>
      </c>
      <c r="N19" s="44"/>
      <c r="O19" s="44"/>
      <c r="P19" s="52"/>
      <c r="Q19" s="51" t="s">
        <v>89</v>
      </c>
      <c r="R19" s="29" t="s">
        <v>25</v>
      </c>
      <c r="S19" s="51"/>
    </row>
    <row r="20" spans="1:19" ht="29.25" customHeight="1">
      <c r="A20" s="15" t="s">
        <v>19</v>
      </c>
      <c r="B20" s="16" t="s">
        <v>90</v>
      </c>
      <c r="C20" s="41" t="s">
        <v>91</v>
      </c>
      <c r="D20" s="18"/>
      <c r="E20" s="19" t="s">
        <v>22</v>
      </c>
      <c r="F20" s="18" t="s">
        <v>23</v>
      </c>
      <c r="G20" s="43">
        <v>100</v>
      </c>
      <c r="H20" s="21">
        <f>IF(OR(J20="",K20="",K20&lt;J20),0,NETWORKDAYS(J20,K20,[1]fESTIVOS!$A$2:$A$53))</f>
        <v>0</v>
      </c>
      <c r="I20" s="44">
        <v>45874</v>
      </c>
      <c r="J20" s="49">
        <v>45874</v>
      </c>
      <c r="K20" s="49"/>
      <c r="L20" s="49">
        <v>45882</v>
      </c>
      <c r="M20" s="25">
        <f ca="1">IF(OR(J20="",AND(L20="",TODAY()&lt;J20),AND(L20&lt;&gt;"",L20&lt;J20)),0,
   IF(L20="",
      NETWORKDAYS(J20,TODAY(),[1]fESTIVOS!$A$2:$A$53),
      NETWORKDAYS(J20,L20,[1]fESTIVOS!$A$2:$A$53)
   )
)</f>
        <v>6</v>
      </c>
      <c r="N20" s="44"/>
      <c r="O20" s="44"/>
      <c r="P20" s="52">
        <v>45885</v>
      </c>
      <c r="Q20" s="30" t="s">
        <v>92</v>
      </c>
      <c r="R20" s="29" t="s">
        <v>25</v>
      </c>
      <c r="S20" s="30"/>
    </row>
    <row r="21" spans="1:19" ht="29.25" customHeight="1">
      <c r="A21" s="15" t="s">
        <v>19</v>
      </c>
      <c r="B21" s="16" t="s">
        <v>93</v>
      </c>
      <c r="C21" s="56" t="s">
        <v>94</v>
      </c>
      <c r="D21" s="57"/>
      <c r="E21" s="19" t="s">
        <v>22</v>
      </c>
      <c r="F21" s="57" t="s">
        <v>23</v>
      </c>
      <c r="G21" s="58">
        <v>100</v>
      </c>
      <c r="H21" s="21">
        <f>IF(OR(J21="",K21="",K21&lt;J21),0,NETWORKDAYS(J21,K21,[1]fESTIVOS!$A$2:$A$53))</f>
        <v>0</v>
      </c>
      <c r="I21" s="59">
        <v>45883</v>
      </c>
      <c r="J21" s="49">
        <v>45883</v>
      </c>
      <c r="K21" s="49"/>
      <c r="L21" s="49">
        <v>45883</v>
      </c>
      <c r="M21" s="25">
        <f ca="1">IF(OR(J21="",AND(L21="",TODAY()&lt;J21),AND(L21&lt;&gt;"",L21&lt;J21)),0,
   IF(L21="",
      NETWORKDAYS(J21,TODAY(),[1]fESTIVOS!$A$2:$A$53),
      NETWORKDAYS(J21,L21,[1]fESTIVOS!$A$2:$A$53)
   )
)</f>
        <v>1</v>
      </c>
      <c r="N21" s="44"/>
      <c r="O21" s="44"/>
      <c r="P21" s="52">
        <v>45885</v>
      </c>
      <c r="Q21" s="30" t="s">
        <v>95</v>
      </c>
      <c r="R21" s="29" t="s">
        <v>25</v>
      </c>
      <c r="S21" s="30"/>
    </row>
    <row r="22" spans="1:19" ht="29.25" customHeight="1">
      <c r="A22" s="15" t="s">
        <v>19</v>
      </c>
      <c r="B22" s="16" t="s">
        <v>96</v>
      </c>
      <c r="C22" s="56" t="s">
        <v>97</v>
      </c>
      <c r="D22" s="57" t="s">
        <v>98</v>
      </c>
      <c r="E22" s="19" t="s">
        <v>22</v>
      </c>
      <c r="F22" s="57" t="s">
        <v>23</v>
      </c>
      <c r="G22" s="58">
        <v>100</v>
      </c>
      <c r="H22" s="21">
        <f>IF(OR(J22="",K22="",K22&lt;J22),0,NETWORKDAYS(J22,K22,[1]fESTIVOS!$A$2:$A$53))</f>
        <v>0</v>
      </c>
      <c r="I22" s="59"/>
      <c r="J22" s="49">
        <v>45895</v>
      </c>
      <c r="K22" s="49"/>
      <c r="L22" s="49">
        <v>45895</v>
      </c>
      <c r="M22" s="25">
        <f ca="1">IF(OR(J22="",AND(L22="",TODAY()&lt;J22),AND(L22&lt;&gt;"",L22&lt;J22)),0,
   IF(L22="",
      NETWORKDAYS(J22,TODAY(),[1]fESTIVOS!$A$2:$A$53),
      NETWORKDAYS(J22,L22,[1]fESTIVOS!$A$2:$A$53)
   )
)</f>
        <v>1</v>
      </c>
      <c r="N22" s="44"/>
      <c r="O22" s="44"/>
      <c r="P22" s="52"/>
      <c r="Q22" s="30" t="s">
        <v>99</v>
      </c>
      <c r="R22" s="29" t="s">
        <v>25</v>
      </c>
      <c r="S22" s="30"/>
    </row>
    <row r="23" spans="1:19" ht="29.25" customHeight="1">
      <c r="A23" s="15" t="s">
        <v>19</v>
      </c>
      <c r="B23" s="16" t="s">
        <v>100</v>
      </c>
      <c r="C23" s="41" t="s">
        <v>87</v>
      </c>
      <c r="D23" s="55" t="s">
        <v>101</v>
      </c>
      <c r="E23" s="19" t="s">
        <v>88</v>
      </c>
      <c r="F23" s="55" t="s">
        <v>23</v>
      </c>
      <c r="G23" s="43">
        <v>100</v>
      </c>
      <c r="H23" s="21">
        <f>IF(OR(J23="",K23="",K23&lt;J23),0,NETWORKDAYS(J23,K23,[1]fESTIVOS!$A$2:$A$53))</f>
        <v>5</v>
      </c>
      <c r="I23" s="44">
        <v>45884</v>
      </c>
      <c r="J23" s="49">
        <v>45884</v>
      </c>
      <c r="K23" s="49">
        <v>45891</v>
      </c>
      <c r="L23" s="49">
        <v>45947</v>
      </c>
      <c r="M23" s="25">
        <f ca="1">IF(OR(J23="",AND(L23="",TODAY()&lt;J23),AND(L23&lt;&gt;"",L23&lt;J23)),0,
   IF(L23="",
      NETWORKDAYS(J23,TODAY(),[1]fESTIVOS!$A$2:$A$53),
      NETWORKDAYS(J23,L23,[1]fESTIVOS!$A$2:$A$53)
   )
)</f>
        <v>44</v>
      </c>
      <c r="N23" s="44"/>
      <c r="O23" s="44"/>
      <c r="P23" s="52"/>
      <c r="Q23" s="30" t="s">
        <v>102</v>
      </c>
      <c r="R23" s="29" t="s">
        <v>25</v>
      </c>
      <c r="S23" s="30"/>
    </row>
    <row r="24" spans="1:19" ht="29.25" customHeight="1">
      <c r="A24" s="15" t="s">
        <v>19</v>
      </c>
      <c r="B24" s="16" t="s">
        <v>103</v>
      </c>
      <c r="C24" s="41" t="s">
        <v>104</v>
      </c>
      <c r="D24" s="55"/>
      <c r="E24" s="19" t="s">
        <v>105</v>
      </c>
      <c r="F24" s="55" t="s">
        <v>23</v>
      </c>
      <c r="G24" s="43">
        <v>100</v>
      </c>
      <c r="H24" s="21">
        <f>IF(OR(J24="",K24="",K24&lt;J24),0,NETWORKDAYS(J24,K24,[1]fESTIVOS!$A$2:$A$53))</f>
        <v>5</v>
      </c>
      <c r="I24" s="44">
        <v>45894</v>
      </c>
      <c r="J24" s="49">
        <v>45894</v>
      </c>
      <c r="K24" s="49">
        <v>45898</v>
      </c>
      <c r="L24" s="49">
        <v>45897</v>
      </c>
      <c r="M24" s="25">
        <f ca="1">IF(OR(J24="",AND(L24="",TODAY()&lt;J24),AND(L24&lt;&gt;"",L24&lt;J24)),0,
   IF(L24="",
      NETWORKDAYS(J24,TODAY(),[1]fESTIVOS!$A$2:$A$53),
      NETWORKDAYS(J24,L24,[1]fESTIVOS!$A$2:$A$53)
   )
)</f>
        <v>4</v>
      </c>
      <c r="N24" s="44"/>
      <c r="O24" s="44"/>
      <c r="P24" s="52"/>
      <c r="Q24" s="30" t="s">
        <v>106</v>
      </c>
      <c r="R24" s="29" t="s">
        <v>25</v>
      </c>
      <c r="S24" s="30"/>
    </row>
    <row r="25" spans="1:19" ht="29.25" customHeight="1">
      <c r="A25" s="15" t="s">
        <v>19</v>
      </c>
      <c r="B25" s="16" t="s">
        <v>107</v>
      </c>
      <c r="C25" s="41" t="s">
        <v>104</v>
      </c>
      <c r="D25" s="55"/>
      <c r="E25" s="19" t="s">
        <v>105</v>
      </c>
      <c r="F25" s="55" t="s">
        <v>23</v>
      </c>
      <c r="G25" s="43">
        <v>100</v>
      </c>
      <c r="H25" s="21">
        <f>IF(OR(J25="",K25="",K25&lt;J25),0,NETWORKDAYS(J25,K25,[1]fESTIVOS!$A$2:$A$53))</f>
        <v>5</v>
      </c>
      <c r="I25" s="44">
        <v>45894</v>
      </c>
      <c r="J25" s="49">
        <v>45894</v>
      </c>
      <c r="K25" s="49">
        <v>45898</v>
      </c>
      <c r="L25" s="49">
        <v>45897</v>
      </c>
      <c r="M25" s="25">
        <f ca="1">IF(OR(J25="",AND(L25="",TODAY()&lt;J25),AND(L25&lt;&gt;"",L25&lt;J25)),0,
   IF(L25="",
      NETWORKDAYS(J25,TODAY(),[1]fESTIVOS!$A$2:$A$53),
      NETWORKDAYS(J25,L25,[1]fESTIVOS!$A$2:$A$53)
   )
)</f>
        <v>4</v>
      </c>
      <c r="N25" s="44"/>
      <c r="O25" s="44"/>
      <c r="P25" s="52"/>
      <c r="Q25" s="30" t="s">
        <v>108</v>
      </c>
      <c r="R25" s="29" t="s">
        <v>25</v>
      </c>
      <c r="S25" s="30"/>
    </row>
    <row r="26" spans="1:19" ht="29.25" customHeight="1">
      <c r="A26" s="15" t="s">
        <v>19</v>
      </c>
      <c r="B26" s="16" t="s">
        <v>109</v>
      </c>
      <c r="C26" s="41" t="s">
        <v>104</v>
      </c>
      <c r="D26" s="55"/>
      <c r="E26" s="19" t="s">
        <v>105</v>
      </c>
      <c r="F26" s="55" t="s">
        <v>23</v>
      </c>
      <c r="G26" s="43">
        <v>100</v>
      </c>
      <c r="H26" s="21">
        <f>IF(OR(J26="",K26="",K26&lt;J26),0,NETWORKDAYS(J26,K26,[1]fESTIVOS!$A$2:$A$53))</f>
        <v>5</v>
      </c>
      <c r="I26" s="44">
        <v>45894</v>
      </c>
      <c r="J26" s="49">
        <v>45894</v>
      </c>
      <c r="K26" s="49">
        <v>45898</v>
      </c>
      <c r="L26" s="49">
        <v>45897</v>
      </c>
      <c r="M26" s="25">
        <f ca="1">IF(OR(J26="",AND(L26="",TODAY()&lt;J26),AND(L26&lt;&gt;"",L26&lt;J26)),0,
   IF(L26="",
      NETWORKDAYS(J26,TODAY(),[1]fESTIVOS!$A$2:$A$53),
      NETWORKDAYS(J26,L26,[1]fESTIVOS!$A$2:$A$53)
   )
)</f>
        <v>4</v>
      </c>
      <c r="N26" s="44"/>
      <c r="O26" s="44"/>
      <c r="P26" s="52"/>
      <c r="Q26" s="30" t="s">
        <v>110</v>
      </c>
      <c r="R26" s="29" t="s">
        <v>25</v>
      </c>
      <c r="S26" s="30"/>
    </row>
    <row r="27" spans="1:19" ht="29.25" customHeight="1">
      <c r="A27" s="15" t="s">
        <v>19</v>
      </c>
      <c r="B27" s="16" t="s">
        <v>111</v>
      </c>
      <c r="C27" s="41" t="s">
        <v>104</v>
      </c>
      <c r="D27" s="60"/>
      <c r="E27" s="19" t="s">
        <v>105</v>
      </c>
      <c r="F27" s="55" t="s">
        <v>23</v>
      </c>
      <c r="G27" s="43">
        <v>100</v>
      </c>
      <c r="H27" s="21">
        <f>IF(OR(J27="",K27="",K27&lt;J27),0,NETWORKDAYS(J27,K27,[1]fESTIVOS!$A$2:$A$53))</f>
        <v>5</v>
      </c>
      <c r="I27" s="44">
        <v>45894</v>
      </c>
      <c r="J27" s="49">
        <v>45894</v>
      </c>
      <c r="K27" s="49">
        <v>45898</v>
      </c>
      <c r="L27" s="49">
        <v>45897</v>
      </c>
      <c r="M27" s="25">
        <f ca="1">IF(OR(J27="",AND(L27="",TODAY()&lt;J27),AND(L27&lt;&gt;"",L27&lt;J27)),0,
   IF(L27="",
      NETWORKDAYS(J27,TODAY(),[1]fESTIVOS!$A$2:$A$53),
      NETWORKDAYS(J27,L27,[1]fESTIVOS!$A$2:$A$53)
   )
)</f>
        <v>4</v>
      </c>
      <c r="N27" s="44"/>
      <c r="O27" s="44"/>
      <c r="P27" s="52"/>
      <c r="Q27" s="30" t="s">
        <v>112</v>
      </c>
      <c r="R27" s="29" t="s">
        <v>25</v>
      </c>
      <c r="S27" s="30"/>
    </row>
    <row r="28" spans="1:19" ht="29.25" customHeight="1">
      <c r="A28" s="15" t="s">
        <v>19</v>
      </c>
      <c r="B28" s="16" t="s">
        <v>113</v>
      </c>
      <c r="C28" s="41" t="s">
        <v>114</v>
      </c>
      <c r="D28" s="55"/>
      <c r="E28" s="19" t="s">
        <v>105</v>
      </c>
      <c r="F28" s="55" t="s">
        <v>23</v>
      </c>
      <c r="G28" s="43">
        <v>100</v>
      </c>
      <c r="H28" s="21">
        <f>IF(OR(J28="",K28="",K28&lt;J28),0,NETWORKDAYS(J28,K28,[1]fESTIVOS!$A$2:$A$53))</f>
        <v>4</v>
      </c>
      <c r="I28" s="44">
        <v>45894</v>
      </c>
      <c r="J28" s="49">
        <v>45895</v>
      </c>
      <c r="K28" s="49">
        <v>45898</v>
      </c>
      <c r="L28" s="49">
        <v>45897</v>
      </c>
      <c r="M28" s="25">
        <f ca="1">IF(OR(J28="",AND(L28="",TODAY()&lt;J28),AND(L28&lt;&gt;"",L28&lt;J28)),0,
   IF(L28="",
      NETWORKDAYS(J28,TODAY(),[1]fESTIVOS!$A$2:$A$53),
      NETWORKDAYS(J28,L28,[1]fESTIVOS!$A$2:$A$53)
   )
)</f>
        <v>3</v>
      </c>
      <c r="N28" s="44"/>
      <c r="O28" s="44"/>
      <c r="P28" s="52"/>
      <c r="Q28" s="30" t="s">
        <v>115</v>
      </c>
      <c r="R28" s="29" t="s">
        <v>25</v>
      </c>
      <c r="S28" s="30"/>
    </row>
    <row r="29" spans="1:19" ht="29.25" customHeight="1">
      <c r="A29" s="15" t="s">
        <v>19</v>
      </c>
      <c r="B29" s="16" t="s">
        <v>116</v>
      </c>
      <c r="C29" s="41" t="s">
        <v>117</v>
      </c>
      <c r="D29" s="55"/>
      <c r="E29" s="19" t="s">
        <v>105</v>
      </c>
      <c r="F29" s="55" t="s">
        <v>23</v>
      </c>
      <c r="G29" s="43">
        <v>100</v>
      </c>
      <c r="H29" s="21">
        <f>IF(OR(J29="",K29="",K29&lt;J29),0,NETWORKDAYS(J29,K29,[1]fESTIVOS!$A$2:$A$53))</f>
        <v>4</v>
      </c>
      <c r="I29" s="44">
        <v>45894</v>
      </c>
      <c r="J29" s="49">
        <v>45895</v>
      </c>
      <c r="K29" s="49">
        <v>45898</v>
      </c>
      <c r="L29" s="49">
        <v>45897</v>
      </c>
      <c r="M29" s="25">
        <f ca="1">IF(OR(J29="",AND(L29="",TODAY()&lt;J29),AND(L29&lt;&gt;"",L29&lt;J29)),0,
   IF(L29="",
      NETWORKDAYS(J29,TODAY(),[1]fESTIVOS!$A$2:$A$53),
      NETWORKDAYS(J29,L29,[1]fESTIVOS!$A$2:$A$53)
   )
)</f>
        <v>3</v>
      </c>
      <c r="N29" s="44"/>
      <c r="O29" s="44"/>
      <c r="P29" s="52"/>
      <c r="Q29" s="30" t="s">
        <v>118</v>
      </c>
      <c r="R29" s="29" t="s">
        <v>25</v>
      </c>
      <c r="S29" s="30"/>
    </row>
    <row r="30" spans="1:19" ht="29.25" customHeight="1">
      <c r="A30" s="15" t="s">
        <v>19</v>
      </c>
      <c r="B30" s="16" t="s">
        <v>119</v>
      </c>
      <c r="C30" s="41" t="s">
        <v>117</v>
      </c>
      <c r="D30" s="55"/>
      <c r="E30" s="19" t="s">
        <v>105</v>
      </c>
      <c r="F30" s="55" t="s">
        <v>23</v>
      </c>
      <c r="G30" s="43">
        <v>100</v>
      </c>
      <c r="H30" s="21">
        <f>IF(OR(J30="",K30="",K30&lt;J30),0,NETWORKDAYS(J30,K30,[1]fESTIVOS!$A$2:$A$53))</f>
        <v>4</v>
      </c>
      <c r="I30" s="44">
        <v>45894</v>
      </c>
      <c r="J30" s="49">
        <v>45895</v>
      </c>
      <c r="K30" s="49">
        <v>45898</v>
      </c>
      <c r="L30" s="49">
        <v>45897</v>
      </c>
      <c r="M30" s="25">
        <f ca="1">IF(OR(J30="",AND(L30="",TODAY()&lt;J30),AND(L30&lt;&gt;"",L30&lt;J30)),0,
   IF(L30="",
      NETWORKDAYS(J30,TODAY(),[1]fESTIVOS!$A$2:$A$53),
      NETWORKDAYS(J30,L30,[1]fESTIVOS!$A$2:$A$53)
   )
)</f>
        <v>3</v>
      </c>
      <c r="N30" s="44"/>
      <c r="O30" s="44"/>
      <c r="P30" s="52"/>
      <c r="Q30" s="30" t="s">
        <v>120</v>
      </c>
      <c r="R30" s="29" t="s">
        <v>25</v>
      </c>
      <c r="S30" s="30"/>
    </row>
    <row r="31" spans="1:19" ht="29.25" customHeight="1">
      <c r="A31" s="15" t="s">
        <v>19</v>
      </c>
      <c r="B31" s="16" t="s">
        <v>121</v>
      </c>
      <c r="C31" s="41" t="s">
        <v>122</v>
      </c>
      <c r="D31" s="55"/>
      <c r="E31" s="19" t="s">
        <v>22</v>
      </c>
      <c r="F31" s="55" t="s">
        <v>23</v>
      </c>
      <c r="G31" s="43">
        <v>100</v>
      </c>
      <c r="H31" s="21">
        <f>IF(OR(J31="",K31="",K31&lt;J31),0,NETWORKDAYS(J31,K31,[1]fESTIVOS!$A$2:$A$53))</f>
        <v>4</v>
      </c>
      <c r="I31" s="44">
        <v>45894</v>
      </c>
      <c r="J31" s="49">
        <v>45895</v>
      </c>
      <c r="K31" s="49">
        <v>45898</v>
      </c>
      <c r="L31" s="49">
        <v>45897</v>
      </c>
      <c r="M31" s="25">
        <f ca="1">IF(OR(J31="",AND(L31="",TODAY()&lt;J31),AND(L31&lt;&gt;"",L31&lt;J31)),0,
   IF(L31="",
      NETWORKDAYS(J31,TODAY(),[1]fESTIVOS!$A$2:$A$53),
      NETWORKDAYS(J31,L31,[1]fESTIVOS!$A$2:$A$53)
   )
)</f>
        <v>3</v>
      </c>
      <c r="N31" s="44"/>
      <c r="O31" s="44"/>
      <c r="P31" s="52"/>
      <c r="Q31" s="30" t="s">
        <v>123</v>
      </c>
      <c r="R31" s="29" t="s">
        <v>25</v>
      </c>
      <c r="S31" s="30"/>
    </row>
    <row r="32" spans="1:19" ht="29.25" customHeight="1">
      <c r="A32" s="15" t="s">
        <v>19</v>
      </c>
      <c r="B32" s="16" t="s">
        <v>124</v>
      </c>
      <c r="C32" s="41" t="s">
        <v>122</v>
      </c>
      <c r="D32" s="55"/>
      <c r="E32" s="19" t="s">
        <v>22</v>
      </c>
      <c r="F32" s="55" t="s">
        <v>23</v>
      </c>
      <c r="G32" s="43">
        <v>100</v>
      </c>
      <c r="H32" s="21">
        <f>IF(OR(J32="",K32="",K32&lt;J32),0,NETWORKDAYS(J32,K32,[1]fESTIVOS!$A$2:$A$53))</f>
        <v>4</v>
      </c>
      <c r="I32" s="44">
        <v>45894</v>
      </c>
      <c r="J32" s="49">
        <v>45896</v>
      </c>
      <c r="K32" s="49">
        <v>45901</v>
      </c>
      <c r="L32" s="49">
        <v>45930</v>
      </c>
      <c r="M32" s="25">
        <f ca="1">IF(OR(J32="",AND(L32="",TODAY()&lt;J32),AND(L32&lt;&gt;"",L32&lt;J32)),0,
   IF(L32="",
      NETWORKDAYS(J32,TODAY(),[1]fESTIVOS!$A$2:$A$53),
      NETWORKDAYS(J32,L32,[1]fESTIVOS!$A$2:$A$53)
   )
)</f>
        <v>25</v>
      </c>
      <c r="N32" s="44"/>
      <c r="O32" s="44"/>
      <c r="P32" s="52"/>
      <c r="Q32" s="30" t="s">
        <v>125</v>
      </c>
      <c r="R32" s="29" t="s">
        <v>25</v>
      </c>
      <c r="S32" s="30"/>
    </row>
    <row r="33" spans="1:19" ht="29.25" customHeight="1">
      <c r="A33" s="15" t="s">
        <v>19</v>
      </c>
      <c r="B33" s="16" t="s">
        <v>126</v>
      </c>
      <c r="C33" s="41" t="s">
        <v>127</v>
      </c>
      <c r="D33" s="55"/>
      <c r="E33" s="19" t="s">
        <v>22</v>
      </c>
      <c r="F33" s="55" t="s">
        <v>23</v>
      </c>
      <c r="G33" s="43">
        <v>100</v>
      </c>
      <c r="H33" s="21">
        <f>IF(OR(J33="",K33="",K33&lt;J33),0,NETWORKDAYS(J33,K33,[1]fESTIVOS!$A$2:$A$53))</f>
        <v>0</v>
      </c>
      <c r="I33" s="44">
        <v>45894</v>
      </c>
      <c r="J33" s="49">
        <v>45930</v>
      </c>
      <c r="K33" s="49">
        <v>45901</v>
      </c>
      <c r="L33" s="49">
        <v>45930</v>
      </c>
      <c r="M33" s="25">
        <f ca="1">IF(OR(J33="",AND(L33="",TODAY()&lt;J33),AND(L33&lt;&gt;"",L33&lt;J33)),0,
   IF(L33="",
      NETWORKDAYS(J33,TODAY(),[1]fESTIVOS!$A$2:$A$53),
      NETWORKDAYS(J33,L33,[1]fESTIVOS!$A$2:$A$53)
   )
)</f>
        <v>1</v>
      </c>
      <c r="N33" s="44"/>
      <c r="O33" s="44"/>
      <c r="P33" s="52"/>
      <c r="Q33" s="30" t="s">
        <v>128</v>
      </c>
      <c r="R33" s="29" t="s">
        <v>25</v>
      </c>
      <c r="S33" s="30"/>
    </row>
    <row r="34" spans="1:19" ht="29.25" customHeight="1">
      <c r="A34" s="15" t="s">
        <v>19</v>
      </c>
      <c r="B34" s="16" t="s">
        <v>129</v>
      </c>
      <c r="C34" s="41" t="s">
        <v>130</v>
      </c>
      <c r="D34" s="55"/>
      <c r="E34" s="19" t="s">
        <v>22</v>
      </c>
      <c r="F34" s="55" t="s">
        <v>23</v>
      </c>
      <c r="G34" s="43">
        <v>100</v>
      </c>
      <c r="H34" s="21">
        <f>IF(OR(J34="",K34="",K34&lt;J34),0,NETWORKDAYS(J34,K34,[1]fESTIVOS!$A$2:$A$53))</f>
        <v>0</v>
      </c>
      <c r="I34" s="44">
        <v>45894</v>
      </c>
      <c r="J34" s="49">
        <v>45930</v>
      </c>
      <c r="K34" s="49">
        <v>45901</v>
      </c>
      <c r="L34" s="49">
        <v>45930</v>
      </c>
      <c r="M34" s="25">
        <f ca="1">IF(OR(J34="",AND(L34="",TODAY()&lt;J34),AND(L34&lt;&gt;"",L34&lt;J34)),0,
   IF(L34="",
      NETWORKDAYS(J34,TODAY(),[1]fESTIVOS!$A$2:$A$53),
      NETWORKDAYS(J34,L34,[1]fESTIVOS!$A$2:$A$53)
   )
)</f>
        <v>1</v>
      </c>
      <c r="N34" s="44"/>
      <c r="O34" s="44"/>
      <c r="P34" s="52"/>
      <c r="Q34" s="30" t="s">
        <v>131</v>
      </c>
      <c r="R34" s="29" t="s">
        <v>25</v>
      </c>
      <c r="S34" s="30"/>
    </row>
    <row r="35" spans="1:19" ht="29.25" customHeight="1">
      <c r="A35" s="15" t="s">
        <v>19</v>
      </c>
      <c r="B35" s="16" t="s">
        <v>132</v>
      </c>
      <c r="C35" s="41" t="s">
        <v>133</v>
      </c>
      <c r="D35" s="55"/>
      <c r="E35" s="19" t="s">
        <v>22</v>
      </c>
      <c r="F35" s="55" t="s">
        <v>23</v>
      </c>
      <c r="G35" s="43">
        <v>100</v>
      </c>
      <c r="H35" s="21">
        <f>IF(OR(J35="",K35="",K35&lt;J35),0,NETWORKDAYS(J35,K35,[1]fESTIVOS!$A$2:$A$53))</f>
        <v>0</v>
      </c>
      <c r="I35" s="44">
        <v>45894</v>
      </c>
      <c r="J35" s="49">
        <v>45947</v>
      </c>
      <c r="K35" s="49">
        <v>45901</v>
      </c>
      <c r="L35" s="49">
        <v>45947</v>
      </c>
      <c r="M35" s="25">
        <f ca="1">IF(OR(J35="",AND(L35="",TODAY()&lt;J35),AND(L35&lt;&gt;"",L35&lt;J35)),0,
   IF(L35="",
      NETWORKDAYS(J35,TODAY(),[1]fESTIVOS!$A$2:$A$53),
      NETWORKDAYS(J35,L35,[1]fESTIVOS!$A$2:$A$53)
   )
)</f>
        <v>1</v>
      </c>
      <c r="N35" s="44"/>
      <c r="O35" s="44"/>
      <c r="P35" s="52"/>
      <c r="Q35" s="30" t="s">
        <v>134</v>
      </c>
      <c r="R35" s="29" t="s">
        <v>25</v>
      </c>
      <c r="S35" s="30"/>
    </row>
    <row r="36" spans="1:19" ht="29.25" customHeight="1">
      <c r="A36" s="15" t="s">
        <v>19</v>
      </c>
      <c r="B36" s="16" t="s">
        <v>135</v>
      </c>
      <c r="C36" s="41" t="s">
        <v>136</v>
      </c>
      <c r="D36" s="55"/>
      <c r="E36" s="19" t="s">
        <v>105</v>
      </c>
      <c r="F36" s="55" t="s">
        <v>23</v>
      </c>
      <c r="G36" s="43">
        <v>100</v>
      </c>
      <c r="H36" s="21">
        <f>IF(OR(J36="",K36="",K36&lt;J36),0,NETWORKDAYS(J36,K36,[1]fESTIVOS!$A$2:$A$53))</f>
        <v>4</v>
      </c>
      <c r="I36" s="44">
        <v>45894</v>
      </c>
      <c r="J36" s="49">
        <v>45895</v>
      </c>
      <c r="K36" s="49">
        <v>45898</v>
      </c>
      <c r="L36" s="49">
        <v>45897</v>
      </c>
      <c r="M36" s="25">
        <f ca="1">IF(OR(J36="",AND(L36="",TODAY()&lt;J36),AND(L36&lt;&gt;"",L36&lt;J36)),0,
   IF(L36="",
      NETWORKDAYS(J36,TODAY(),[1]fESTIVOS!$A$2:$A$53),
      NETWORKDAYS(J36,L36,[1]fESTIVOS!$A$2:$A$53)
   )
)</f>
        <v>3</v>
      </c>
      <c r="N36" s="44"/>
      <c r="O36" s="44"/>
      <c r="P36" s="52"/>
      <c r="Q36" s="30" t="s">
        <v>137</v>
      </c>
      <c r="R36" s="29" t="s">
        <v>25</v>
      </c>
      <c r="S36" s="30"/>
    </row>
    <row r="37" spans="1:19" ht="29.25" customHeight="1">
      <c r="A37" s="15" t="s">
        <v>19</v>
      </c>
      <c r="B37" s="16" t="s">
        <v>138</v>
      </c>
      <c r="C37" s="41" t="s">
        <v>139</v>
      </c>
      <c r="D37" s="55"/>
      <c r="E37" s="19" t="s">
        <v>22</v>
      </c>
      <c r="F37" s="55" t="s">
        <v>23</v>
      </c>
      <c r="G37" s="43">
        <v>100</v>
      </c>
      <c r="H37" s="21">
        <f>IF(OR(J37="",K37="",K37&lt;J37),0,NETWORKDAYS(J37,K37,[1]fESTIVOS!$A$2:$A$53))</f>
        <v>0</v>
      </c>
      <c r="I37" s="44">
        <v>45894</v>
      </c>
      <c r="J37" s="49">
        <v>45930</v>
      </c>
      <c r="K37" s="49">
        <v>45902</v>
      </c>
      <c r="L37" s="49">
        <v>45930</v>
      </c>
      <c r="M37" s="25">
        <f ca="1">IF(OR(J37="",AND(L37="",TODAY()&lt;J37),AND(L37&lt;&gt;"",L37&lt;J37)),0,
   IF(L37="",
      NETWORKDAYS(J37,TODAY(),[1]fESTIVOS!$A$2:$A$53),
      NETWORKDAYS(J37,L37,[1]fESTIVOS!$A$2:$A$53)
   )
)</f>
        <v>1</v>
      </c>
      <c r="N37" s="46"/>
      <c r="O37" s="46"/>
      <c r="P37" s="52"/>
      <c r="Q37" s="30" t="s">
        <v>140</v>
      </c>
      <c r="R37" s="29" t="s">
        <v>25</v>
      </c>
      <c r="S37" s="30"/>
    </row>
    <row r="38" spans="1:19" ht="29.25" customHeight="1">
      <c r="A38" s="15" t="s">
        <v>19</v>
      </c>
      <c r="B38" s="16" t="s">
        <v>141</v>
      </c>
      <c r="C38" s="41" t="s">
        <v>142</v>
      </c>
      <c r="D38" s="55"/>
      <c r="E38" s="19" t="s">
        <v>22</v>
      </c>
      <c r="F38" s="55" t="s">
        <v>23</v>
      </c>
      <c r="G38" s="43">
        <v>100</v>
      </c>
      <c r="H38" s="21">
        <f>IF(OR(J38="",K38="",K38&lt;J38),0,NETWORKDAYS(J38,K38,[1]fESTIVOS!$A$2:$A$53))</f>
        <v>3</v>
      </c>
      <c r="I38" s="44">
        <v>45894</v>
      </c>
      <c r="J38" s="49">
        <v>45938</v>
      </c>
      <c r="K38" s="49">
        <v>45940</v>
      </c>
      <c r="L38" s="49">
        <v>45947</v>
      </c>
      <c r="M38" s="25">
        <f ca="1">IF(OR(J38="",AND(L38="",TODAY()&lt;J38),AND(L38&lt;&gt;"",L38&lt;J38)),0,
   IF(L38="",
      NETWORKDAYS(J38,TODAY(),[1]fESTIVOS!$A$2:$A$53),
      NETWORKDAYS(J38,L38,[1]fESTIVOS!$A$2:$A$53)
   )
)</f>
        <v>7</v>
      </c>
      <c r="N38" s="44"/>
      <c r="O38" s="44"/>
      <c r="P38" s="52"/>
      <c r="Q38" s="30" t="s">
        <v>143</v>
      </c>
      <c r="R38" s="29" t="s">
        <v>25</v>
      </c>
      <c r="S38" s="30"/>
    </row>
    <row r="39" spans="1:19" ht="29.25" customHeight="1">
      <c r="A39" s="15" t="s">
        <v>19</v>
      </c>
      <c r="B39" s="19" t="s">
        <v>144</v>
      </c>
      <c r="C39" s="61" t="s">
        <v>145</v>
      </c>
      <c r="D39" s="62" t="s">
        <v>146</v>
      </c>
      <c r="E39" s="63" t="s">
        <v>105</v>
      </c>
      <c r="F39" s="64" t="s">
        <v>23</v>
      </c>
      <c r="G39" s="65">
        <v>100</v>
      </c>
      <c r="H39" s="21">
        <f>IF(OR(J39="",K39="",K39&lt;J39),0,NETWORKDAYS(J39,K39,[1]fESTIVOS!$A$2:$A$53))</f>
        <v>3</v>
      </c>
      <c r="I39" s="66">
        <v>45901</v>
      </c>
      <c r="J39" s="67">
        <v>45901</v>
      </c>
      <c r="K39" s="67">
        <v>45903</v>
      </c>
      <c r="L39" s="67">
        <v>45919</v>
      </c>
      <c r="M39" s="25">
        <f ca="1">IF(OR(J39="",AND(L39="",TODAY()&lt;J39),AND(L39&lt;&gt;"",L39&lt;J39)),0,
   IF(L39="",
      NETWORKDAYS(J39,TODAY(),[1]fESTIVOS!$A$2:$A$53),
      NETWORKDAYS(J39,L39,[1]fESTIVOS!$A$2:$A$53)
   )
)</f>
        <v>15</v>
      </c>
      <c r="N39" s="68"/>
      <c r="O39" s="68"/>
      <c r="P39" s="69"/>
      <c r="Q39" s="70" t="s">
        <v>147</v>
      </c>
      <c r="R39" s="71" t="s">
        <v>25</v>
      </c>
      <c r="S39" s="70"/>
    </row>
    <row r="40" spans="1:19" ht="29.25" customHeight="1">
      <c r="A40" s="15" t="s">
        <v>19</v>
      </c>
      <c r="B40" s="16" t="s">
        <v>148</v>
      </c>
      <c r="C40" s="41" t="s">
        <v>149</v>
      </c>
      <c r="D40" s="55" t="s">
        <v>150</v>
      </c>
      <c r="E40" s="19" t="s">
        <v>22</v>
      </c>
      <c r="F40" s="55" t="s">
        <v>23</v>
      </c>
      <c r="G40" s="43">
        <v>100</v>
      </c>
      <c r="H40" s="21">
        <f>IF(OR(J40="",K40="",K40&lt;J40),0,NETWORKDAYS(J40,K40,[1]fESTIVOS!$A$2:$A$53))</f>
        <v>4</v>
      </c>
      <c r="I40" s="44">
        <v>45898</v>
      </c>
      <c r="J40" s="49">
        <v>45898</v>
      </c>
      <c r="K40" s="67">
        <v>45903</v>
      </c>
      <c r="L40" s="49">
        <v>45932</v>
      </c>
      <c r="M40" s="25">
        <f ca="1">IF(OR(J40="",AND(L40="",TODAY()&lt;J40),AND(L40&lt;&gt;"",L40&lt;J40)),0,
   IF(L40="",
      NETWORKDAYS(J40,TODAY(),[1]fESTIVOS!$A$2:$A$53),
      NETWORKDAYS(J40,L40,[1]fESTIVOS!$A$2:$A$53)
   )
)</f>
        <v>25</v>
      </c>
      <c r="N40" s="44"/>
      <c r="O40" s="44"/>
      <c r="P40" s="52"/>
      <c r="Q40" s="70" t="s">
        <v>151</v>
      </c>
      <c r="R40" s="29" t="s">
        <v>25</v>
      </c>
      <c r="S40" s="30"/>
    </row>
    <row r="41" spans="1:19" ht="29.25" customHeight="1">
      <c r="A41" s="15" t="s">
        <v>19</v>
      </c>
      <c r="B41" s="16" t="s">
        <v>152</v>
      </c>
      <c r="C41" s="41" t="s">
        <v>153</v>
      </c>
      <c r="D41" s="55" t="s">
        <v>154</v>
      </c>
      <c r="E41" s="19" t="s">
        <v>22</v>
      </c>
      <c r="F41" s="55" t="s">
        <v>23</v>
      </c>
      <c r="G41" s="43">
        <v>100</v>
      </c>
      <c r="H41" s="21">
        <f>IF(OR(J41="",K41="",K41&lt;J41),0,NETWORKDAYS(J41,K41,[1]fESTIVOS!$A$2:$A$53))</f>
        <v>3</v>
      </c>
      <c r="I41" s="44">
        <v>45901</v>
      </c>
      <c r="J41" s="49">
        <v>45901</v>
      </c>
      <c r="K41" s="67">
        <v>45903</v>
      </c>
      <c r="L41" s="49">
        <v>45903</v>
      </c>
      <c r="M41" s="25">
        <f ca="1">IF(OR(J41="",AND(L41="",TODAY()&lt;J41),AND(L41&lt;&gt;"",L41&lt;J41)),0,
   IF(L41="",
      NETWORKDAYS(J41,TODAY(),[1]fESTIVOS!$A$2:$A$53),
      NETWORKDAYS(J41,L41,[1]fESTIVOS!$A$2:$A$53)
   )
)</f>
        <v>3</v>
      </c>
      <c r="N41" s="44"/>
      <c r="O41" s="44"/>
      <c r="P41" s="52"/>
      <c r="Q41" s="70" t="s">
        <v>155</v>
      </c>
      <c r="R41" s="29" t="s">
        <v>25</v>
      </c>
      <c r="S41" s="30"/>
    </row>
    <row r="42" spans="1:19" ht="29.25" customHeight="1">
      <c r="A42" s="15" t="s">
        <v>19</v>
      </c>
      <c r="B42" s="16" t="s">
        <v>156</v>
      </c>
      <c r="C42" s="41" t="s">
        <v>157</v>
      </c>
      <c r="D42" s="55"/>
      <c r="E42" s="19" t="s">
        <v>88</v>
      </c>
      <c r="F42" s="55" t="s">
        <v>23</v>
      </c>
      <c r="G42" s="43">
        <v>100</v>
      </c>
      <c r="H42" s="21">
        <f>IF(OR(J42="",K42="",K42&lt;J42),0,NETWORKDAYS(J42,K42,[1]fESTIVOS!$A$2:$A$53))</f>
        <v>1</v>
      </c>
      <c r="I42" s="44">
        <v>45902</v>
      </c>
      <c r="J42" s="49">
        <v>45903</v>
      </c>
      <c r="K42" s="67">
        <v>45903</v>
      </c>
      <c r="L42" s="49">
        <v>45903</v>
      </c>
      <c r="M42" s="25">
        <f ca="1">IF(OR(J42="",AND(L42="",TODAY()&lt;J42),AND(L42&lt;&gt;"",L42&lt;J42)),0,
   IF(L42="",
      NETWORKDAYS(J42,TODAY(),[1]fESTIVOS!$A$2:$A$53),
      NETWORKDAYS(J42,L42,[1]fESTIVOS!$A$2:$A$53)
   )
)</f>
        <v>1</v>
      </c>
      <c r="N42" s="44"/>
      <c r="O42" s="44"/>
      <c r="P42" s="52"/>
      <c r="Q42" s="70" t="s">
        <v>158</v>
      </c>
      <c r="R42" s="29" t="s">
        <v>25</v>
      </c>
      <c r="S42" s="30"/>
    </row>
    <row r="43" spans="1:19" ht="29.25" customHeight="1">
      <c r="A43" s="15" t="s">
        <v>19</v>
      </c>
      <c r="B43" s="19" t="s">
        <v>159</v>
      </c>
      <c r="C43" s="61" t="s">
        <v>160</v>
      </c>
      <c r="D43" s="72" t="s">
        <v>161</v>
      </c>
      <c r="E43" s="63" t="s">
        <v>22</v>
      </c>
      <c r="F43" s="64" t="s">
        <v>23</v>
      </c>
      <c r="G43" s="65">
        <v>100</v>
      </c>
      <c r="H43" s="21">
        <f>IF(OR(J43="",K43="",K43&lt;J43),0,NETWORKDAYS(J43,K43,[1]fESTIVOS!$A$2:$A$53))</f>
        <v>3</v>
      </c>
      <c r="I43" s="66">
        <v>45903</v>
      </c>
      <c r="J43" s="67">
        <v>45903</v>
      </c>
      <c r="K43" s="73">
        <v>45905</v>
      </c>
      <c r="L43" s="67">
        <v>46041</v>
      </c>
      <c r="M43" s="25">
        <f ca="1">IF(OR(J43="",AND(L43="",TODAY()&lt;J43),AND(L43&lt;&gt;"",L43&lt;J43)),0,
   IF(L43="",
      NETWORKDAYS(J43,TODAY(),[1]fESTIVOS!$A$2:$A$53),
      NETWORKDAYS(J43,L43,[1]fESTIVOS!$A$2:$A$53)
   )
)</f>
        <v>92</v>
      </c>
      <c r="N43" s="68"/>
      <c r="O43" s="68"/>
      <c r="P43" s="69"/>
      <c r="Q43" s="74" t="s">
        <v>162</v>
      </c>
      <c r="R43" s="71" t="s">
        <v>25</v>
      </c>
      <c r="S43" s="70"/>
    </row>
    <row r="44" spans="1:19" ht="29.25" customHeight="1">
      <c r="A44" s="15" t="s">
        <v>19</v>
      </c>
      <c r="B44" s="16" t="s">
        <v>163</v>
      </c>
      <c r="C44" s="61" t="s">
        <v>164</v>
      </c>
      <c r="D44" s="72"/>
      <c r="E44" s="63" t="s">
        <v>88</v>
      </c>
      <c r="F44" s="64" t="s">
        <v>23</v>
      </c>
      <c r="G44" s="65">
        <v>100</v>
      </c>
      <c r="H44" s="21">
        <f>IF(OR(J44="",K44="",K44&lt;J44),0,NETWORKDAYS(J44,K44,[1]fESTIVOS!$A$2:$A$53))</f>
        <v>4</v>
      </c>
      <c r="I44" s="66">
        <v>45905</v>
      </c>
      <c r="J44" s="67">
        <v>45905</v>
      </c>
      <c r="K44" s="73">
        <v>45910</v>
      </c>
      <c r="L44" s="67">
        <v>45910</v>
      </c>
      <c r="M44" s="25">
        <f ca="1">IF(OR(J44="",AND(L44="",TODAY()&lt;J44),AND(L44&lt;&gt;"",L44&lt;J44)),0,
   IF(L44="",
      NETWORKDAYS(J44,TODAY(),[1]fESTIVOS!$A$2:$A$53),
      NETWORKDAYS(J44,L44,[1]fESTIVOS!$A$2:$A$53)
   )
)</f>
        <v>4</v>
      </c>
      <c r="N44" s="68"/>
      <c r="O44" s="68"/>
      <c r="P44" s="69"/>
      <c r="Q44" s="74" t="s">
        <v>165</v>
      </c>
      <c r="R44" s="71" t="s">
        <v>25</v>
      </c>
      <c r="S44" s="70"/>
    </row>
    <row r="45" spans="1:19" ht="29.25" customHeight="1">
      <c r="A45" s="15" t="s">
        <v>19</v>
      </c>
      <c r="B45" s="16" t="s">
        <v>166</v>
      </c>
      <c r="C45" s="61" t="s">
        <v>164</v>
      </c>
      <c r="D45" s="72"/>
      <c r="E45" s="63" t="s">
        <v>88</v>
      </c>
      <c r="F45" s="64" t="s">
        <v>23</v>
      </c>
      <c r="G45" s="65">
        <v>100</v>
      </c>
      <c r="H45" s="21">
        <f>IF(OR(J45="",K45="",K45&lt;J45),0,NETWORKDAYS(J45,K45,[1]fESTIVOS!$A$2:$A$53))</f>
        <v>4</v>
      </c>
      <c r="I45" s="66">
        <v>45905</v>
      </c>
      <c r="J45" s="67">
        <v>45905</v>
      </c>
      <c r="K45" s="73">
        <v>45910</v>
      </c>
      <c r="L45" s="67">
        <v>45910</v>
      </c>
      <c r="M45" s="25">
        <f ca="1">IF(OR(J45="",AND(L45="",TODAY()&lt;J45),AND(L45&lt;&gt;"",L45&lt;J45)),0,
   IF(L45="",
      NETWORKDAYS(J45,TODAY(),[1]fESTIVOS!$A$2:$A$53),
      NETWORKDAYS(J45,L45,[1]fESTIVOS!$A$2:$A$53)
   )
)</f>
        <v>4</v>
      </c>
      <c r="N45" s="68"/>
      <c r="O45" s="68"/>
      <c r="P45" s="69"/>
      <c r="Q45" s="74" t="s">
        <v>165</v>
      </c>
      <c r="R45" s="71" t="s">
        <v>25</v>
      </c>
      <c r="S45" s="70"/>
    </row>
    <row r="46" spans="1:19" ht="29.25" customHeight="1">
      <c r="A46" s="15" t="s">
        <v>68</v>
      </c>
      <c r="B46" s="16" t="s">
        <v>167</v>
      </c>
      <c r="C46" s="41" t="s">
        <v>168</v>
      </c>
      <c r="D46" s="55"/>
      <c r="E46" s="19" t="s">
        <v>22</v>
      </c>
      <c r="F46" s="55" t="s">
        <v>23</v>
      </c>
      <c r="G46" s="43">
        <v>100</v>
      </c>
      <c r="H46" s="21">
        <f>IF(OR(J46="",K46="",K46&lt;J46),0,NETWORKDAYS(J46,K46,[1]fESTIVOS!$A$2:$A$53))</f>
        <v>0</v>
      </c>
      <c r="I46" s="59">
        <v>45884</v>
      </c>
      <c r="J46" s="49">
        <v>45884</v>
      </c>
      <c r="K46" s="49"/>
      <c r="L46" s="49">
        <v>45888</v>
      </c>
      <c r="M46" s="25">
        <f ca="1">IF(OR(J46="",AND(L46="",TODAY()&lt;J46),AND(L46&lt;&gt;"",L46&lt;J46)),0,
   IF(L46="",
      NETWORKDAYS(J46,TODAY(),[1]fESTIVOS!$A$2:$A$53),
      NETWORKDAYS(J46,L46,[1]fESTIVOS!$A$2:$A$53)
   )
)</f>
        <v>2</v>
      </c>
      <c r="N46" s="44"/>
      <c r="O46" s="44"/>
      <c r="P46" s="52"/>
      <c r="Q46" s="30" t="s">
        <v>169</v>
      </c>
      <c r="R46" s="29" t="s">
        <v>25</v>
      </c>
      <c r="S46" s="30"/>
    </row>
    <row r="47" spans="1:19" ht="29.25" customHeight="1">
      <c r="A47" s="15" t="s">
        <v>19</v>
      </c>
      <c r="B47" s="16" t="s">
        <v>170</v>
      </c>
      <c r="C47" s="41" t="s">
        <v>171</v>
      </c>
      <c r="D47" s="55"/>
      <c r="E47" s="19" t="s">
        <v>22</v>
      </c>
      <c r="F47" s="55" t="s">
        <v>23</v>
      </c>
      <c r="G47" s="43">
        <v>100</v>
      </c>
      <c r="H47" s="21">
        <f>IF(OR(J47="",K47="",K47&lt;J47),0,NETWORKDAYS(J47,K47,[1]fESTIVOS!$A$2:$A$53))</f>
        <v>2</v>
      </c>
      <c r="I47" s="44">
        <v>45889</v>
      </c>
      <c r="J47" s="49">
        <v>45889</v>
      </c>
      <c r="K47" s="49">
        <v>45890</v>
      </c>
      <c r="L47" s="49">
        <v>45889</v>
      </c>
      <c r="M47" s="25">
        <f ca="1">IF(OR(J47="",AND(L47="",TODAY()&lt;J47),AND(L47&lt;&gt;"",L47&lt;J47)),0,
   IF(L47="",
      NETWORKDAYS(J47,TODAY(),[1]fESTIVOS!$A$2:$A$53),
      NETWORKDAYS(J47,L47,[1]fESTIVOS!$A$2:$A$53)
   )
)</f>
        <v>1</v>
      </c>
      <c r="N47" s="44"/>
      <c r="O47" s="44"/>
      <c r="P47" s="52"/>
      <c r="Q47" s="30" t="s">
        <v>172</v>
      </c>
      <c r="R47" s="29" t="s">
        <v>25</v>
      </c>
      <c r="S47" s="30"/>
    </row>
    <row r="48" spans="1:19" ht="29.25" customHeight="1">
      <c r="A48" s="15" t="s">
        <v>19</v>
      </c>
      <c r="B48" s="16" t="s">
        <v>173</v>
      </c>
      <c r="C48" s="41" t="s">
        <v>174</v>
      </c>
      <c r="D48" s="55"/>
      <c r="E48" s="19" t="s">
        <v>22</v>
      </c>
      <c r="F48" s="55" t="s">
        <v>23</v>
      </c>
      <c r="G48" s="43">
        <v>100</v>
      </c>
      <c r="H48" s="21">
        <f>IF(OR(J48="",K48="",K48&lt;J48),0,NETWORKDAYS(J48,K48,[1]fESTIVOS!$A$2:$A$53))</f>
        <v>2</v>
      </c>
      <c r="I48" s="44">
        <v>45889</v>
      </c>
      <c r="J48" s="49">
        <v>45889</v>
      </c>
      <c r="K48" s="49">
        <v>45890</v>
      </c>
      <c r="L48" s="49">
        <v>45889</v>
      </c>
      <c r="M48" s="25">
        <f ca="1">IF(OR(J48="",AND(L48="",TODAY()&lt;J48),AND(L48&lt;&gt;"",L48&lt;J48)),0,
   IF(L48="",
      NETWORKDAYS(J48,TODAY(),[1]fESTIVOS!$A$2:$A$53),
      NETWORKDAYS(J48,L48,[1]fESTIVOS!$A$2:$A$53)
   )
)</f>
        <v>1</v>
      </c>
      <c r="N48" s="44"/>
      <c r="O48" s="44"/>
      <c r="P48" s="52"/>
      <c r="Q48" s="30" t="s">
        <v>175</v>
      </c>
      <c r="R48" s="29" t="s">
        <v>25</v>
      </c>
      <c r="S48" s="30"/>
    </row>
    <row r="49" spans="1:19" ht="29.25" customHeight="1">
      <c r="A49" s="15" t="s">
        <v>19</v>
      </c>
      <c r="B49" s="16" t="s">
        <v>176</v>
      </c>
      <c r="C49" s="41" t="s">
        <v>177</v>
      </c>
      <c r="D49" s="55"/>
      <c r="E49" s="19" t="s">
        <v>22</v>
      </c>
      <c r="F49" s="55" t="s">
        <v>23</v>
      </c>
      <c r="G49" s="43">
        <v>100</v>
      </c>
      <c r="H49" s="21">
        <f>IF(OR(J49="",K49="",K49&lt;J49),0,NETWORKDAYS(J49,K49,[1]fESTIVOS!$A$2:$A$53))</f>
        <v>2</v>
      </c>
      <c r="I49" s="44">
        <v>45889</v>
      </c>
      <c r="J49" s="49">
        <v>45889</v>
      </c>
      <c r="K49" s="49">
        <v>45890</v>
      </c>
      <c r="L49" s="49">
        <v>45889</v>
      </c>
      <c r="M49" s="25">
        <f ca="1">IF(OR(J49="",AND(L49="",TODAY()&lt;J49),AND(L49&lt;&gt;"",L49&lt;J49)),0,
   IF(L49="",
      NETWORKDAYS(J49,TODAY(),[1]fESTIVOS!$A$2:$A$53),
      NETWORKDAYS(J49,L49,[1]fESTIVOS!$A$2:$A$53)
   )
)</f>
        <v>1</v>
      </c>
      <c r="N49" s="44"/>
      <c r="O49" s="44"/>
      <c r="P49" s="52"/>
      <c r="Q49" s="30" t="s">
        <v>178</v>
      </c>
      <c r="R49" s="29" t="s">
        <v>25</v>
      </c>
      <c r="S49" s="30"/>
    </row>
    <row r="50" spans="1:19" ht="29.25" customHeight="1">
      <c r="A50" s="15" t="s">
        <v>19</v>
      </c>
      <c r="B50" s="16" t="s">
        <v>179</v>
      </c>
      <c r="C50" s="41" t="s">
        <v>180</v>
      </c>
      <c r="D50" s="55"/>
      <c r="E50" s="19" t="s">
        <v>22</v>
      </c>
      <c r="F50" s="55" t="s">
        <v>23</v>
      </c>
      <c r="G50" s="43">
        <v>100</v>
      </c>
      <c r="H50" s="21">
        <f>IF(OR(J50="",K50="",K50&lt;J50),0,NETWORKDAYS(J50,K50,[1]fESTIVOS!$A$2:$A$53))</f>
        <v>2</v>
      </c>
      <c r="I50" s="44">
        <v>45889</v>
      </c>
      <c r="J50" s="49">
        <v>45889</v>
      </c>
      <c r="K50" s="49">
        <v>45890</v>
      </c>
      <c r="L50" s="49">
        <v>45889</v>
      </c>
      <c r="M50" s="25">
        <f ca="1">IF(OR(J50="",AND(L50="",TODAY()&lt;J50),AND(L50&lt;&gt;"",L50&lt;J50)),0,
   IF(L50="",
      NETWORKDAYS(J50,TODAY(),[1]fESTIVOS!$A$2:$A$53),
      NETWORKDAYS(J50,L50,[1]fESTIVOS!$A$2:$A$53)
   )
)</f>
        <v>1</v>
      </c>
      <c r="N50" s="44"/>
      <c r="O50" s="44"/>
      <c r="P50" s="52"/>
      <c r="Q50" s="30" t="s">
        <v>181</v>
      </c>
      <c r="R50" s="29" t="s">
        <v>25</v>
      </c>
      <c r="S50" s="30"/>
    </row>
    <row r="51" spans="1:19" ht="29.25" customHeight="1">
      <c r="A51" s="15" t="s">
        <v>19</v>
      </c>
      <c r="B51" s="19" t="s">
        <v>182</v>
      </c>
      <c r="C51" s="75" t="s">
        <v>180</v>
      </c>
      <c r="D51" s="62"/>
      <c r="E51" s="63" t="s">
        <v>22</v>
      </c>
      <c r="F51" s="64" t="s">
        <v>23</v>
      </c>
      <c r="G51" s="65">
        <v>100</v>
      </c>
      <c r="H51" s="21">
        <f>IF(OR(J51="",K51="",K51&lt;J51),0,NETWORKDAYS(J51,K51,[1]fESTIVOS!$A$2:$A$53))</f>
        <v>2</v>
      </c>
      <c r="I51" s="66">
        <v>45889</v>
      </c>
      <c r="J51" s="67">
        <v>45889</v>
      </c>
      <c r="K51" s="67">
        <v>45890</v>
      </c>
      <c r="L51" s="67">
        <v>45889</v>
      </c>
      <c r="M51" s="25">
        <f ca="1">IF(OR(J51="",AND(L51="",TODAY()&lt;J51),AND(L51&lt;&gt;"",L51&lt;J51)),0,
   IF(L51="",
      NETWORKDAYS(J51,TODAY(),[1]fESTIVOS!$A$2:$A$53),
      NETWORKDAYS(J51,L51,[1]fESTIVOS!$A$2:$A$53)
   )
)</f>
        <v>1</v>
      </c>
      <c r="N51" s="68"/>
      <c r="O51" s="68"/>
      <c r="P51" s="69"/>
      <c r="Q51" s="30" t="s">
        <v>183</v>
      </c>
      <c r="R51" s="29" t="s">
        <v>25</v>
      </c>
      <c r="S51" s="76"/>
    </row>
    <row r="52" spans="1:19" ht="29.25" customHeight="1">
      <c r="A52" s="15" t="s">
        <v>19</v>
      </c>
      <c r="B52" s="19" t="s">
        <v>184</v>
      </c>
      <c r="C52" s="75" t="s">
        <v>180</v>
      </c>
      <c r="D52" s="62"/>
      <c r="E52" s="77" t="s">
        <v>22</v>
      </c>
      <c r="F52" s="64" t="s">
        <v>23</v>
      </c>
      <c r="G52" s="65">
        <v>100</v>
      </c>
      <c r="H52" s="21">
        <f>IF(OR(J52="",K52="",K52&lt;J52),0,NETWORKDAYS(J52,K52,[1]fESTIVOS!$A$2:$A$53))</f>
        <v>2</v>
      </c>
      <c r="I52" s="66">
        <v>45889</v>
      </c>
      <c r="J52" s="67">
        <v>45889</v>
      </c>
      <c r="K52" s="67">
        <v>45890</v>
      </c>
      <c r="L52" s="67">
        <v>45889</v>
      </c>
      <c r="M52" s="25">
        <f ca="1">IF(OR(J52="",AND(L52="",TODAY()&lt;J52),AND(L52&lt;&gt;"",L52&lt;J52)),0,
   IF(L52="",
      NETWORKDAYS(J52,TODAY(),[1]fESTIVOS!$A$2:$A$53),
      NETWORKDAYS(J52,L52,[1]fESTIVOS!$A$2:$A$53)
   )
)</f>
        <v>1</v>
      </c>
      <c r="N52" s="68"/>
      <c r="O52" s="68"/>
      <c r="P52" s="69"/>
      <c r="Q52" s="30" t="s">
        <v>185</v>
      </c>
      <c r="R52" s="29" t="s">
        <v>25</v>
      </c>
      <c r="S52" s="76"/>
    </row>
    <row r="53" spans="1:19" ht="29.25" customHeight="1">
      <c r="A53" s="15" t="s">
        <v>19</v>
      </c>
      <c r="B53" s="16" t="s">
        <v>186</v>
      </c>
      <c r="C53" s="41" t="s">
        <v>187</v>
      </c>
      <c r="D53" s="62"/>
      <c r="E53" s="19" t="s">
        <v>88</v>
      </c>
      <c r="F53" s="64" t="s">
        <v>23</v>
      </c>
      <c r="G53" s="65">
        <v>100</v>
      </c>
      <c r="H53" s="21">
        <f>IF(OR(J53="",K53="",K53&lt;J53),0,NETWORKDAYS(J53,K53,[1]fESTIVOS!$A$2:$A$53))</f>
        <v>2</v>
      </c>
      <c r="I53" s="66">
        <v>45890</v>
      </c>
      <c r="J53" s="67">
        <v>45890</v>
      </c>
      <c r="K53" s="67">
        <v>45891</v>
      </c>
      <c r="L53" s="67">
        <v>45890</v>
      </c>
      <c r="M53" s="25">
        <f ca="1">IF(OR(J53="",AND(L53="",TODAY()&lt;J53),AND(L53&lt;&gt;"",L53&lt;J53)),0,
   IF(L53="",
      NETWORKDAYS(J53,TODAY(),[1]fESTIVOS!$A$2:$A$53),
      NETWORKDAYS(J53,L53,[1]fESTIVOS!$A$2:$A$53)
   )
)</f>
        <v>1</v>
      </c>
      <c r="N53" s="68"/>
      <c r="O53" s="68"/>
      <c r="P53" s="69"/>
      <c r="Q53" s="30" t="s">
        <v>188</v>
      </c>
      <c r="R53" s="29" t="s">
        <v>25</v>
      </c>
      <c r="S53" s="76"/>
    </row>
    <row r="54" spans="1:19" ht="29.25" customHeight="1">
      <c r="A54" s="15" t="s">
        <v>19</v>
      </c>
      <c r="B54" s="16" t="s">
        <v>189</v>
      </c>
      <c r="C54" s="41" t="s">
        <v>190</v>
      </c>
      <c r="D54" s="55" t="s">
        <v>191</v>
      </c>
      <c r="E54" s="19" t="s">
        <v>88</v>
      </c>
      <c r="F54" s="64" t="s">
        <v>23</v>
      </c>
      <c r="G54" s="78">
        <v>100</v>
      </c>
      <c r="H54" s="21">
        <f>IF(OR(J54="",K54="",K54&lt;J54),0,NETWORKDAYS(J54,K54,[1]fESTIVOS!$A$2:$A$53))</f>
        <v>1</v>
      </c>
      <c r="I54" s="66">
        <v>45890</v>
      </c>
      <c r="J54" s="67">
        <v>45891</v>
      </c>
      <c r="K54" s="67">
        <v>45891</v>
      </c>
      <c r="L54" s="67">
        <v>45891</v>
      </c>
      <c r="M54" s="25">
        <f ca="1">IF(OR(J54="",AND(L54="",TODAY()&lt;J54),AND(L54&lt;&gt;"",L54&lt;J54)),0,
   IF(L54="",
      NETWORKDAYS(J54,TODAY(),[1]fESTIVOS!$A$2:$A$53),
      NETWORKDAYS(J54,L54,[1]fESTIVOS!$A$2:$A$53)
   )
)</f>
        <v>1</v>
      </c>
      <c r="N54" s="68"/>
      <c r="O54" s="68"/>
      <c r="P54" s="69"/>
      <c r="Q54" s="30" t="s">
        <v>192</v>
      </c>
      <c r="R54" s="79" t="s">
        <v>25</v>
      </c>
      <c r="S54" s="76"/>
    </row>
    <row r="55" spans="1:19" ht="29.25" customHeight="1">
      <c r="A55" s="15" t="s">
        <v>19</v>
      </c>
      <c r="B55" s="16" t="s">
        <v>193</v>
      </c>
      <c r="C55" s="41" t="s">
        <v>194</v>
      </c>
      <c r="D55" s="62"/>
      <c r="E55" s="19" t="s">
        <v>88</v>
      </c>
      <c r="F55" s="64" t="s">
        <v>23</v>
      </c>
      <c r="G55" s="78">
        <v>100</v>
      </c>
      <c r="H55" s="21">
        <f>IF(OR(J55="",K55="",K55&lt;J55),0,NETWORKDAYS(J55,K55,[1]fESTIVOS!$A$2:$A$53))</f>
        <v>2</v>
      </c>
      <c r="I55" s="66">
        <v>45890</v>
      </c>
      <c r="J55" s="67">
        <v>45890</v>
      </c>
      <c r="K55" s="67">
        <v>45891</v>
      </c>
      <c r="L55" s="67">
        <v>45890</v>
      </c>
      <c r="M55" s="25">
        <f ca="1">IF(OR(J55="",AND(L55="",TODAY()&lt;J55),AND(L55&lt;&gt;"",L55&lt;J55)),0,
   IF(L55="",
      NETWORKDAYS(J55,TODAY(),[1]fESTIVOS!$A$2:$A$53),
      NETWORKDAYS(J55,L55,[1]fESTIVOS!$A$2:$A$53)
   )
)</f>
        <v>1</v>
      </c>
      <c r="N55" s="68"/>
      <c r="O55" s="68"/>
      <c r="P55" s="69"/>
      <c r="Q55" s="30" t="s">
        <v>195</v>
      </c>
      <c r="R55" s="79" t="s">
        <v>25</v>
      </c>
      <c r="S55" s="76"/>
    </row>
    <row r="56" spans="1:19" ht="29.25" customHeight="1">
      <c r="A56" s="15" t="s">
        <v>19</v>
      </c>
      <c r="B56" s="16" t="s">
        <v>196</v>
      </c>
      <c r="C56" s="41" t="s">
        <v>197</v>
      </c>
      <c r="D56" s="62" t="s">
        <v>198</v>
      </c>
      <c r="E56" s="19" t="s">
        <v>88</v>
      </c>
      <c r="F56" s="64" t="s">
        <v>23</v>
      </c>
      <c r="G56" s="78">
        <v>100</v>
      </c>
      <c r="H56" s="21">
        <f>IF(OR(J56="",K56="",K56&lt;J56),0,NETWORKDAYS(J56,K56,[1]fESTIVOS!$A$2:$A$53))</f>
        <v>2</v>
      </c>
      <c r="I56" s="66">
        <v>45890</v>
      </c>
      <c r="J56" s="67">
        <v>45890</v>
      </c>
      <c r="K56" s="67">
        <v>45892</v>
      </c>
      <c r="L56" s="67">
        <v>45892</v>
      </c>
      <c r="M56" s="25">
        <f ca="1">IF(OR(J56="",AND(L56="",TODAY()&lt;J56),AND(L56&lt;&gt;"",L56&lt;J56)),0,
   IF(L56="",
      NETWORKDAYS(J56,TODAY(),[1]fESTIVOS!$A$2:$A$53),
      NETWORKDAYS(J56,L56,[1]fESTIVOS!$A$2:$A$53)
   )
)</f>
        <v>2</v>
      </c>
      <c r="N56" s="68"/>
      <c r="O56" s="68"/>
      <c r="P56" s="69"/>
      <c r="Q56" s="30" t="s">
        <v>199</v>
      </c>
      <c r="R56" s="79" t="s">
        <v>25</v>
      </c>
      <c r="S56" s="76"/>
    </row>
    <row r="57" spans="1:19" ht="29.25" customHeight="1">
      <c r="A57" s="15" t="s">
        <v>19</v>
      </c>
      <c r="B57" s="16" t="s">
        <v>200</v>
      </c>
      <c r="C57" s="61" t="s">
        <v>201</v>
      </c>
      <c r="D57" s="72" t="s">
        <v>202</v>
      </c>
      <c r="E57" s="63" t="s">
        <v>88</v>
      </c>
      <c r="F57" s="64" t="s">
        <v>23</v>
      </c>
      <c r="G57" s="65">
        <v>100</v>
      </c>
      <c r="H57" s="21">
        <f>IF(OR(J57="",K57="",K57&lt;J57),0,NETWORKDAYS(J57,K57,[1]fESTIVOS!$A$2:$A$53))</f>
        <v>3</v>
      </c>
      <c r="I57" s="66">
        <v>45910</v>
      </c>
      <c r="J57" s="67">
        <v>45910</v>
      </c>
      <c r="K57" s="73">
        <v>45912</v>
      </c>
      <c r="L57" s="67">
        <v>45937</v>
      </c>
      <c r="M57" s="25">
        <f ca="1">IF(OR(J57="",AND(L57="",TODAY()&lt;J57),AND(L57&lt;&gt;"",L57&lt;J57)),0,
   IF(L57="",
      NETWORKDAYS(J57,TODAY(),[1]fESTIVOS!$A$2:$A$53),
      NETWORKDAYS(J57,L57,[1]fESTIVOS!$A$2:$A$53)
   )
)</f>
        <v>20</v>
      </c>
      <c r="N57" s="68"/>
      <c r="O57" s="68"/>
      <c r="P57" s="69"/>
      <c r="Q57" s="74" t="s">
        <v>203</v>
      </c>
      <c r="R57" s="71" t="s">
        <v>25</v>
      </c>
      <c r="S57" s="70"/>
    </row>
    <row r="58" spans="1:19" ht="29.25" customHeight="1">
      <c r="A58" s="15" t="s">
        <v>19</v>
      </c>
      <c r="B58" s="16" t="s">
        <v>204</v>
      </c>
      <c r="C58" s="61" t="s">
        <v>205</v>
      </c>
      <c r="D58" s="72" t="s">
        <v>206</v>
      </c>
      <c r="E58" s="63" t="s">
        <v>88</v>
      </c>
      <c r="F58" s="64" t="s">
        <v>23</v>
      </c>
      <c r="G58" s="65">
        <v>100</v>
      </c>
      <c r="H58" s="21">
        <f>IF(OR(J58="",K58="",K58&lt;J58),0,NETWORKDAYS(J58,K58,[1]fESTIVOS!$A$2:$A$53))</f>
        <v>2</v>
      </c>
      <c r="I58" s="66">
        <v>45912</v>
      </c>
      <c r="J58" s="67">
        <v>45912</v>
      </c>
      <c r="K58" s="73">
        <v>45915</v>
      </c>
      <c r="L58" s="67">
        <v>45937</v>
      </c>
      <c r="M58" s="25">
        <f ca="1">IF(OR(J58="",AND(L58="",TODAY()&lt;J58),AND(L58&lt;&gt;"",L58&lt;J58)),0,
   IF(L58="",
      NETWORKDAYS(J58,TODAY(),[1]fESTIVOS!$A$2:$A$53),
      NETWORKDAYS(J58,L58,[1]fESTIVOS!$A$2:$A$53)
   )
)</f>
        <v>18</v>
      </c>
      <c r="N58" s="68"/>
      <c r="O58" s="68"/>
      <c r="P58" s="69"/>
      <c r="Q58" s="74" t="s">
        <v>207</v>
      </c>
      <c r="R58" s="71" t="s">
        <v>25</v>
      </c>
      <c r="S58" s="70"/>
    </row>
    <row r="59" spans="1:19" ht="29.25" customHeight="1">
      <c r="A59" s="80" t="s">
        <v>19</v>
      </c>
      <c r="B59" s="19" t="s">
        <v>208</v>
      </c>
      <c r="C59" s="81" t="s">
        <v>209</v>
      </c>
      <c r="D59" s="72" t="s">
        <v>210</v>
      </c>
      <c r="E59" s="63" t="s">
        <v>88</v>
      </c>
      <c r="F59" s="82" t="s">
        <v>23</v>
      </c>
      <c r="G59" s="83">
        <v>100</v>
      </c>
      <c r="H59" s="21">
        <f>IF(OR(J59="",K59="",K59&lt;J59),0,NETWORKDAYS(J59,K59,[1]fESTIVOS!$A$2:$A$53))</f>
        <v>2</v>
      </c>
      <c r="I59" s="66">
        <v>45912</v>
      </c>
      <c r="J59" s="67">
        <v>45912</v>
      </c>
      <c r="K59" s="73">
        <v>45915</v>
      </c>
      <c r="L59" s="67">
        <v>45937</v>
      </c>
      <c r="M59" s="25">
        <f ca="1">IF(OR(J59="",AND(L59="",TODAY()&lt;J59),AND(L59&lt;&gt;"",L59&lt;J59)),0,
   IF(L59="",
      NETWORKDAYS(J59,TODAY(),[1]fESTIVOS!$A$2:$A$53),
      NETWORKDAYS(J59,L59,[1]fESTIVOS!$A$2:$A$53)
   )
)</f>
        <v>18</v>
      </c>
      <c r="N59" s="84"/>
      <c r="O59" s="84"/>
      <c r="P59" s="85"/>
      <c r="Q59" s="74" t="s">
        <v>211</v>
      </c>
      <c r="R59" s="71" t="s">
        <v>25</v>
      </c>
      <c r="S59" s="70"/>
    </row>
    <row r="60" spans="1:19" ht="29.25" customHeight="1">
      <c r="A60" s="80" t="s">
        <v>19</v>
      </c>
      <c r="B60" s="63" t="s">
        <v>212</v>
      </c>
      <c r="C60" s="81" t="s">
        <v>213</v>
      </c>
      <c r="D60" s="86" t="s">
        <v>214</v>
      </c>
      <c r="E60" s="63" t="s">
        <v>88</v>
      </c>
      <c r="F60" s="82" t="s">
        <v>23</v>
      </c>
      <c r="G60" s="83">
        <v>100</v>
      </c>
      <c r="H60" s="21">
        <f>IF(OR(J60="",K60="",K60&lt;J60),0,NETWORKDAYS(J60,K60,[1]fESTIVOS!$A$2:$A$53))</f>
        <v>3</v>
      </c>
      <c r="I60" s="87">
        <v>45917</v>
      </c>
      <c r="J60" s="73">
        <v>45917</v>
      </c>
      <c r="K60" s="73">
        <v>45919</v>
      </c>
      <c r="L60" s="67">
        <v>45937</v>
      </c>
      <c r="M60" s="25">
        <f ca="1">IF(OR(J60="",AND(L60="",TODAY()&lt;J60),AND(L60&lt;&gt;"",L60&lt;J60)),0,
   IF(L60="",
      NETWORKDAYS(J60,TODAY(),[1]fESTIVOS!$A$2:$A$53),
      NETWORKDAYS(J60,L60,[1]fESTIVOS!$A$2:$A$53)
   )
)</f>
        <v>15</v>
      </c>
      <c r="N60" s="84"/>
      <c r="O60" s="84"/>
      <c r="P60" s="85"/>
      <c r="Q60" s="74" t="s">
        <v>215</v>
      </c>
      <c r="R60" s="71" t="s">
        <v>25</v>
      </c>
      <c r="S60" s="70"/>
    </row>
    <row r="61" spans="1:19" ht="29.25" customHeight="1">
      <c r="A61" s="80" t="s">
        <v>19</v>
      </c>
      <c r="B61" s="63" t="s">
        <v>216</v>
      </c>
      <c r="C61" s="81" t="s">
        <v>217</v>
      </c>
      <c r="D61" s="86" t="s">
        <v>218</v>
      </c>
      <c r="E61" s="63" t="s">
        <v>88</v>
      </c>
      <c r="F61" s="82" t="s">
        <v>23</v>
      </c>
      <c r="G61" s="83">
        <v>100</v>
      </c>
      <c r="H61" s="21">
        <f>IF(OR(J61="",K61="",K61&lt;J61),0,NETWORKDAYS(J61,K61,[1]fESTIVOS!$A$2:$A$53))</f>
        <v>3</v>
      </c>
      <c r="I61" s="87">
        <v>45917</v>
      </c>
      <c r="J61" s="73">
        <v>45917</v>
      </c>
      <c r="K61" s="73">
        <v>45919</v>
      </c>
      <c r="L61" s="67">
        <v>45937</v>
      </c>
      <c r="M61" s="25">
        <f ca="1">IF(OR(J61="",AND(L61="",TODAY()&lt;J61),AND(L61&lt;&gt;"",L61&lt;J61)),0,
   IF(L61="",
      NETWORKDAYS(J61,TODAY(),[1]fESTIVOS!$A$2:$A$53),
      NETWORKDAYS(J61,L61,[1]fESTIVOS!$A$2:$A$53)
   )
)</f>
        <v>15</v>
      </c>
      <c r="N61" s="84"/>
      <c r="O61" s="84"/>
      <c r="P61" s="85"/>
      <c r="Q61" s="74" t="s">
        <v>219</v>
      </c>
      <c r="R61" s="71" t="s">
        <v>25</v>
      </c>
      <c r="S61" s="70"/>
    </row>
    <row r="62" spans="1:19" ht="39" customHeight="1">
      <c r="A62" s="15" t="s">
        <v>19</v>
      </c>
      <c r="B62" s="16" t="s">
        <v>220</v>
      </c>
      <c r="C62" s="41" t="s">
        <v>221</v>
      </c>
      <c r="D62" s="18" t="s">
        <v>222</v>
      </c>
      <c r="E62" s="19" t="s">
        <v>22</v>
      </c>
      <c r="F62" s="18" t="s">
        <v>23</v>
      </c>
      <c r="G62" s="43">
        <v>100</v>
      </c>
      <c r="H62" s="21">
        <f>IF(OR(J62="",K62="",K62&lt;J62),0,NETWORKDAYS(J62,K62,[1]fESTIVOS!$A$2:$A$53))</f>
        <v>1</v>
      </c>
      <c r="I62" s="44">
        <v>45919</v>
      </c>
      <c r="J62" s="49">
        <v>45919</v>
      </c>
      <c r="K62" s="49">
        <v>45919</v>
      </c>
      <c r="L62" s="49">
        <v>45919</v>
      </c>
      <c r="M62" s="25">
        <f ca="1">IF(OR(J62="",AND(L62="",TODAY()&lt;J62),AND(L62&lt;&gt;"",L62&lt;J62)),0,
   IF(L62="",
      NETWORKDAYS(J62,TODAY(),[1]fESTIVOS!$A$2:$A$53),
      NETWORKDAYS(J62,L62,[1]fESTIVOS!$A$2:$A$53)
   )
)</f>
        <v>1</v>
      </c>
      <c r="N62" s="44"/>
      <c r="O62" s="44"/>
      <c r="P62" s="52"/>
      <c r="Q62" s="74" t="s">
        <v>223</v>
      </c>
      <c r="R62" s="29" t="s">
        <v>25</v>
      </c>
      <c r="S62" s="51"/>
    </row>
    <row r="63" spans="1:19" ht="29.25" customHeight="1">
      <c r="A63" s="80" t="s">
        <v>19</v>
      </c>
      <c r="B63" s="63" t="s">
        <v>224</v>
      </c>
      <c r="C63" s="81" t="s">
        <v>225</v>
      </c>
      <c r="D63" s="86" t="s">
        <v>226</v>
      </c>
      <c r="E63" s="63" t="s">
        <v>88</v>
      </c>
      <c r="F63" s="82" t="s">
        <v>23</v>
      </c>
      <c r="G63" s="83">
        <v>100</v>
      </c>
      <c r="H63" s="21">
        <f>IF(OR(J63="",K63="",K63&lt;J63),0,NETWORKDAYS(J63,K63,[1]fESTIVOS!$A$2:$A$53))</f>
        <v>0</v>
      </c>
      <c r="I63" s="87">
        <v>45922</v>
      </c>
      <c r="J63" s="73">
        <v>45922</v>
      </c>
      <c r="K63" s="73"/>
      <c r="L63" s="73">
        <v>45937</v>
      </c>
      <c r="M63" s="25">
        <f ca="1">IF(OR(J63="",AND(L63="",TODAY()&lt;J63),AND(L63&lt;&gt;"",L63&lt;J63)),0,
   IF(L63="",
      NETWORKDAYS(J63,TODAY(),[1]fESTIVOS!$A$2:$A$53),
      NETWORKDAYS(J63,L63,[1]fESTIVOS!$A$2:$A$53)
   )
)</f>
        <v>12</v>
      </c>
      <c r="N63" s="84"/>
      <c r="O63" s="84"/>
      <c r="P63" s="85"/>
      <c r="Q63" s="74" t="s">
        <v>227</v>
      </c>
      <c r="R63" s="71" t="s">
        <v>25</v>
      </c>
      <c r="S63" s="70"/>
    </row>
    <row r="64" spans="1:19" ht="29.25" customHeight="1">
      <c r="A64" s="80" t="s">
        <v>19</v>
      </c>
      <c r="B64" s="63" t="s">
        <v>228</v>
      </c>
      <c r="C64" s="81" t="s">
        <v>225</v>
      </c>
      <c r="D64" s="86" t="s">
        <v>229</v>
      </c>
      <c r="E64" s="63" t="s">
        <v>88</v>
      </c>
      <c r="F64" s="82" t="s">
        <v>23</v>
      </c>
      <c r="G64" s="83">
        <v>100</v>
      </c>
      <c r="H64" s="21">
        <f>IF(OR(J64="",K64="",K64&lt;J64),0,NETWORKDAYS(J64,K64,[1]fESTIVOS!$A$2:$A$53))</f>
        <v>0</v>
      </c>
      <c r="I64" s="87">
        <v>45922</v>
      </c>
      <c r="J64" s="73">
        <v>45922</v>
      </c>
      <c r="K64" s="73"/>
      <c r="L64" s="73">
        <v>45937</v>
      </c>
      <c r="M64" s="25">
        <f ca="1">IF(OR(J64="",AND(L64="",TODAY()&lt;J64),AND(L64&lt;&gt;"",L64&lt;J64)),0,
   IF(L64="",
      NETWORKDAYS(J64,TODAY(),[1]fESTIVOS!$A$2:$A$53),
      NETWORKDAYS(J64,L64,[1]fESTIVOS!$A$2:$A$53)
   )
)</f>
        <v>12</v>
      </c>
      <c r="N64" s="84"/>
      <c r="O64" s="84"/>
      <c r="P64" s="85"/>
      <c r="Q64" s="74" t="s">
        <v>230</v>
      </c>
      <c r="R64" s="71" t="s">
        <v>25</v>
      </c>
      <c r="S64" s="70"/>
    </row>
    <row r="65" spans="1:19" ht="29.25" customHeight="1">
      <c r="A65" s="80" t="s">
        <v>19</v>
      </c>
      <c r="B65" s="63" t="s">
        <v>231</v>
      </c>
      <c r="C65" s="81" t="s">
        <v>232</v>
      </c>
      <c r="D65" s="86" t="s">
        <v>233</v>
      </c>
      <c r="E65" s="63" t="s">
        <v>88</v>
      </c>
      <c r="F65" s="82" t="s">
        <v>23</v>
      </c>
      <c r="G65" s="83">
        <v>100</v>
      </c>
      <c r="H65" s="21">
        <f>IF(OR(J65="",K65="",K65&lt;J65),0,NETWORKDAYS(J65,K65,[1]fESTIVOS!$A$2:$A$53))</f>
        <v>1</v>
      </c>
      <c r="I65" s="87">
        <v>45925</v>
      </c>
      <c r="J65" s="73">
        <v>45925</v>
      </c>
      <c r="K65" s="73">
        <v>45925</v>
      </c>
      <c r="L65" s="73">
        <v>45925</v>
      </c>
      <c r="M65" s="25">
        <f ca="1">IF(OR(J65="",AND(L65="",TODAY()&lt;J65),AND(L65&lt;&gt;"",L65&lt;J65)),0,
   IF(L65="",
      NETWORKDAYS(J65,TODAY(),[1]fESTIVOS!$A$2:$A$53),
      NETWORKDAYS(J65,L65,[1]fESTIVOS!$A$2:$A$53)
   )
)</f>
        <v>1</v>
      </c>
      <c r="N65" s="84"/>
      <c r="O65" s="84"/>
      <c r="P65" s="85"/>
      <c r="Q65" s="74" t="s">
        <v>234</v>
      </c>
      <c r="R65" s="71" t="s">
        <v>25</v>
      </c>
      <c r="S65" s="70"/>
    </row>
    <row r="66" spans="1:19" ht="29.25" customHeight="1">
      <c r="A66" s="15" t="s">
        <v>19</v>
      </c>
      <c r="B66" s="19" t="s">
        <v>235</v>
      </c>
      <c r="C66" s="61" t="s">
        <v>236</v>
      </c>
      <c r="D66" s="62" t="s">
        <v>237</v>
      </c>
      <c r="E66" s="63" t="s">
        <v>105</v>
      </c>
      <c r="F66" s="64" t="s">
        <v>23</v>
      </c>
      <c r="G66" s="65">
        <v>100</v>
      </c>
      <c r="H66" s="21">
        <f>IF(OR(J66="",K66="",K66&lt;J66),0,NETWORKDAYS(J66,K66,[1]fESTIVOS!$A$2:$A$53))</f>
        <v>1</v>
      </c>
      <c r="I66" s="66">
        <v>45931</v>
      </c>
      <c r="J66" s="67">
        <v>45932</v>
      </c>
      <c r="K66" s="67">
        <v>45932</v>
      </c>
      <c r="L66" s="67">
        <v>45932</v>
      </c>
      <c r="M66" s="25">
        <f ca="1">IF(OR(J66="",AND(L66="",TODAY()&lt;J66),AND(L66&lt;&gt;"",L66&lt;J66)),0,
   IF(L66="",
      NETWORKDAYS(J66,TODAY(),[1]fESTIVOS!$A$2:$A$53),
      NETWORKDAYS(J66,L66,[1]fESTIVOS!$A$2:$A$53)
   )
)</f>
        <v>1</v>
      </c>
      <c r="N66" s="68"/>
      <c r="O66" s="68"/>
      <c r="P66" s="69"/>
      <c r="Q66" s="70" t="s">
        <v>238</v>
      </c>
      <c r="R66" s="71" t="s">
        <v>25</v>
      </c>
      <c r="S66" s="70"/>
    </row>
    <row r="67" spans="1:19" ht="29.25" customHeight="1">
      <c r="A67" s="15" t="s">
        <v>19</v>
      </c>
      <c r="B67" s="19" t="s">
        <v>239</v>
      </c>
      <c r="C67" s="61" t="s">
        <v>240</v>
      </c>
      <c r="D67" s="72" t="s">
        <v>241</v>
      </c>
      <c r="E67" s="63" t="s">
        <v>22</v>
      </c>
      <c r="F67" s="64" t="s">
        <v>23</v>
      </c>
      <c r="G67" s="65">
        <v>100</v>
      </c>
      <c r="H67" s="21">
        <f>IF(OR(J67="",K67="",K67&lt;J67),0,NETWORKDAYS(J67,K67,[1]fESTIVOS!$A$2:$A$53))</f>
        <v>0</v>
      </c>
      <c r="I67" s="66">
        <v>45932</v>
      </c>
      <c r="J67" s="67">
        <v>45934</v>
      </c>
      <c r="K67" s="67">
        <v>45934</v>
      </c>
      <c r="L67" s="67">
        <v>45934</v>
      </c>
      <c r="M67" s="25">
        <f ca="1">IF(OR(J67="",AND(L67="",TODAY()&lt;J67),AND(L67&lt;&gt;"",L67&lt;J67)),0,
   IF(L67="",
      NETWORKDAYS(J67,TODAY(),[1]fESTIVOS!$A$2:$A$53),
      NETWORKDAYS(J67,L67,[1]fESTIVOS!$A$2:$A$53)
   )
)</f>
        <v>0</v>
      </c>
      <c r="N67" s="68"/>
      <c r="O67" s="68"/>
      <c r="P67" s="69"/>
      <c r="Q67" s="74" t="s">
        <v>242</v>
      </c>
      <c r="R67" s="71" t="s">
        <v>25</v>
      </c>
      <c r="S67" s="70"/>
    </row>
    <row r="68" spans="1:19" ht="29.25" customHeight="1">
      <c r="A68" s="15" t="s">
        <v>19</v>
      </c>
      <c r="B68" s="19" t="s">
        <v>243</v>
      </c>
      <c r="C68" s="61" t="s">
        <v>244</v>
      </c>
      <c r="D68" s="72" t="s">
        <v>245</v>
      </c>
      <c r="E68" s="63" t="s">
        <v>22</v>
      </c>
      <c r="F68" s="64" t="s">
        <v>23</v>
      </c>
      <c r="G68" s="65">
        <v>100</v>
      </c>
      <c r="H68" s="21">
        <f>IF(OR(J68="",K68="",K68&lt;J68),0,NETWORKDAYS(J68,K68,[1]fESTIVOS!$A$2:$A$53))</f>
        <v>0</v>
      </c>
      <c r="I68" s="66">
        <v>45932</v>
      </c>
      <c r="J68" s="67">
        <v>45934</v>
      </c>
      <c r="K68" s="67">
        <v>45934</v>
      </c>
      <c r="L68" s="67">
        <v>45934</v>
      </c>
      <c r="M68" s="25">
        <f ca="1">IF(OR(J68="",AND(L68="",TODAY()&lt;J68),AND(L68&lt;&gt;"",L68&lt;J68)),0,
   IF(L68="",
      NETWORKDAYS(J68,TODAY(),[1]fESTIVOS!$A$2:$A$53),
      NETWORKDAYS(J68,L68,[1]fESTIVOS!$A$2:$A$53)
   )
)</f>
        <v>0</v>
      </c>
      <c r="N68" s="68"/>
      <c r="O68" s="68"/>
      <c r="P68" s="69"/>
      <c r="Q68" s="74" t="s">
        <v>246</v>
      </c>
      <c r="R68" s="71" t="s">
        <v>25</v>
      </c>
      <c r="S68" s="70"/>
    </row>
    <row r="69" spans="1:19" ht="29.25" customHeight="1">
      <c r="A69" s="15" t="s">
        <v>19</v>
      </c>
      <c r="B69" s="16" t="s">
        <v>247</v>
      </c>
      <c r="C69" s="41" t="s">
        <v>197</v>
      </c>
      <c r="D69" s="62" t="s">
        <v>248</v>
      </c>
      <c r="E69" s="19" t="s">
        <v>88</v>
      </c>
      <c r="F69" s="64" t="s">
        <v>23</v>
      </c>
      <c r="G69" s="78">
        <v>100</v>
      </c>
      <c r="H69" s="21">
        <f>IF(OR(J69="",K69="",K69&lt;J69),0,NETWORKDAYS(J69,K69,[1]fESTIVOS!$A$2:$A$53))</f>
        <v>0</v>
      </c>
      <c r="I69" s="66">
        <v>45932</v>
      </c>
      <c r="J69" s="67">
        <v>45934</v>
      </c>
      <c r="K69" s="67">
        <v>45934</v>
      </c>
      <c r="L69" s="67">
        <v>45934</v>
      </c>
      <c r="M69" s="25">
        <f ca="1">IF(OR(J69="",AND(L69="",TODAY()&lt;J69),AND(L69&lt;&gt;"",L69&lt;J69)),0,
   IF(L69="",
      NETWORKDAYS(J69,TODAY(),[1]fESTIVOS!$A$2:$A$53),
      NETWORKDAYS(J69,L69,[1]fESTIVOS!$A$2:$A$53)
   )
)</f>
        <v>0</v>
      </c>
      <c r="N69" s="68"/>
      <c r="O69" s="68"/>
      <c r="P69" s="69"/>
      <c r="Q69" s="30" t="s">
        <v>249</v>
      </c>
      <c r="R69" s="79" t="s">
        <v>25</v>
      </c>
      <c r="S69" s="76"/>
    </row>
    <row r="70" spans="1:19" ht="29.25" customHeight="1">
      <c r="A70" s="15" t="s">
        <v>19</v>
      </c>
      <c r="B70" s="19" t="s">
        <v>250</v>
      </c>
      <c r="C70" s="61" t="s">
        <v>251</v>
      </c>
      <c r="D70" s="72"/>
      <c r="E70" s="63" t="s">
        <v>22</v>
      </c>
      <c r="F70" s="64" t="s">
        <v>23</v>
      </c>
      <c r="G70" s="65">
        <v>100</v>
      </c>
      <c r="H70" s="21">
        <f>IF(OR(J70="",K70="",K70&lt;J70),0,NETWORKDAYS(J70,K70,[1]fESTIVOS!$A$2:$A$53))</f>
        <v>2</v>
      </c>
      <c r="I70" s="66">
        <v>45936</v>
      </c>
      <c r="J70" s="67">
        <v>45936</v>
      </c>
      <c r="K70" s="67">
        <v>45937</v>
      </c>
      <c r="L70" s="67">
        <v>45937</v>
      </c>
      <c r="M70" s="25">
        <f ca="1">IF(OR(J70="",AND(L70="",TODAY()&lt;J70),AND(L70&lt;&gt;"",L70&lt;J70)),0,
   IF(L70="",
      NETWORKDAYS(J70,TODAY(),[1]fESTIVOS!$A$2:$A$53),
      NETWORKDAYS(J70,L70,[1]fESTIVOS!$A$2:$A$53)
   )
)</f>
        <v>2</v>
      </c>
      <c r="N70" s="68"/>
      <c r="O70" s="68"/>
      <c r="P70" s="69"/>
      <c r="Q70" s="74" t="s">
        <v>252</v>
      </c>
      <c r="R70" s="71" t="s">
        <v>25</v>
      </c>
      <c r="S70" s="70"/>
    </row>
    <row r="71" spans="1:19" ht="29.25" customHeight="1">
      <c r="A71" s="15" t="s">
        <v>19</v>
      </c>
      <c r="B71" s="19" t="s">
        <v>253</v>
      </c>
      <c r="C71" s="61" t="s">
        <v>254</v>
      </c>
      <c r="D71" s="72" t="s">
        <v>255</v>
      </c>
      <c r="E71" s="63" t="s">
        <v>22</v>
      </c>
      <c r="F71" s="64" t="s">
        <v>23</v>
      </c>
      <c r="G71" s="65">
        <v>100</v>
      </c>
      <c r="H71" s="21">
        <f>IF(OR(J71="",K71="",K71&lt;J71),0,NETWORKDAYS(J71,K71,[1]fESTIVOS!$A$2:$A$53))</f>
        <v>2</v>
      </c>
      <c r="I71" s="66">
        <v>45936</v>
      </c>
      <c r="J71" s="67">
        <v>45936</v>
      </c>
      <c r="K71" s="67">
        <v>45937</v>
      </c>
      <c r="L71" s="67">
        <v>45937</v>
      </c>
      <c r="M71" s="25">
        <f ca="1">IF(OR(J71="",AND(L71="",TODAY()&lt;J71),AND(L71&lt;&gt;"",L71&lt;J71)),0,
   IF(L71="",
      NETWORKDAYS(J71,TODAY(),[1]fESTIVOS!$A$2:$A$53),
      NETWORKDAYS(J71,L71,[1]fESTIVOS!$A$2:$A$53)
   )
)</f>
        <v>2</v>
      </c>
      <c r="N71" s="68"/>
      <c r="O71" s="68"/>
      <c r="P71" s="69"/>
      <c r="Q71" s="74" t="s">
        <v>256</v>
      </c>
      <c r="R71" s="71" t="s">
        <v>25</v>
      </c>
      <c r="S71" s="70"/>
    </row>
    <row r="72" spans="1:19" ht="29.25" customHeight="1">
      <c r="A72" s="80" t="s">
        <v>19</v>
      </c>
      <c r="B72" s="63" t="s">
        <v>257</v>
      </c>
      <c r="C72" s="81" t="s">
        <v>258</v>
      </c>
      <c r="D72" s="72" t="s">
        <v>259</v>
      </c>
      <c r="E72" s="63" t="s">
        <v>88</v>
      </c>
      <c r="F72" s="82" t="s">
        <v>23</v>
      </c>
      <c r="G72" s="83">
        <v>100</v>
      </c>
      <c r="H72" s="21">
        <f>IF(OR(J72="",K72="",K72&lt;J72),0,NETWORKDAYS(J72,K72,[1]fESTIVOS!$A$2:$A$53))</f>
        <v>2</v>
      </c>
      <c r="I72" s="66">
        <v>45936</v>
      </c>
      <c r="J72" s="67">
        <v>45936</v>
      </c>
      <c r="K72" s="67">
        <v>45937</v>
      </c>
      <c r="L72" s="67">
        <v>45937</v>
      </c>
      <c r="M72" s="25">
        <f ca="1">IF(OR(J72="",AND(L72="",TODAY()&lt;J72),AND(L72&lt;&gt;"",L72&lt;J72)),0,
   IF(L72="",
      NETWORKDAYS(J72,TODAY(),[1]fESTIVOS!$A$2:$A$53),
      NETWORKDAYS(J72,L72,[1]fESTIVOS!$A$2:$A$53)
   )
)</f>
        <v>2</v>
      </c>
      <c r="N72" s="84"/>
      <c r="O72" s="84"/>
      <c r="P72" s="85"/>
      <c r="Q72" s="74" t="s">
        <v>260</v>
      </c>
      <c r="R72" s="71" t="s">
        <v>25</v>
      </c>
      <c r="S72" s="70"/>
    </row>
    <row r="73" spans="1:19" ht="29.25" customHeight="1">
      <c r="A73" s="88" t="s">
        <v>19</v>
      </c>
      <c r="B73" s="77" t="s">
        <v>261</v>
      </c>
      <c r="C73" s="89" t="s">
        <v>225</v>
      </c>
      <c r="D73" s="86" t="s">
        <v>262</v>
      </c>
      <c r="E73" s="77" t="s">
        <v>88</v>
      </c>
      <c r="F73" s="90" t="s">
        <v>23</v>
      </c>
      <c r="G73" s="78">
        <v>100</v>
      </c>
      <c r="H73" s="21">
        <f>IF(OR(J73="",K73="",K73&lt;J73),0,NETWORKDAYS(J73,K73,[1]fESTIVOS!$A$2:$A$53))</f>
        <v>2</v>
      </c>
      <c r="I73" s="66">
        <v>45936</v>
      </c>
      <c r="J73" s="67">
        <v>45936</v>
      </c>
      <c r="K73" s="67">
        <v>45937</v>
      </c>
      <c r="L73" s="67">
        <v>45937</v>
      </c>
      <c r="M73" s="25">
        <f ca="1">IF(OR(J73="",AND(L73="",TODAY()&lt;J73),AND(L73&lt;&gt;"",L73&lt;J73)),0,
   IF(L73="",
      NETWORKDAYS(J73,TODAY(),[1]fESTIVOS!$A$2:$A$53),
      NETWORKDAYS(J73,L73,[1]fESTIVOS!$A$2:$A$53)
   )
)</f>
        <v>2</v>
      </c>
      <c r="N73" s="68"/>
      <c r="O73" s="68"/>
      <c r="P73" s="69"/>
      <c r="Q73" s="74" t="s">
        <v>263</v>
      </c>
      <c r="R73" s="79" t="s">
        <v>25</v>
      </c>
      <c r="S73" s="76"/>
    </row>
    <row r="74" spans="1:19" ht="29.25" customHeight="1">
      <c r="A74" s="80" t="s">
        <v>19</v>
      </c>
      <c r="B74" s="63" t="s">
        <v>264</v>
      </c>
      <c r="C74" s="81" t="s">
        <v>225</v>
      </c>
      <c r="D74" s="86" t="s">
        <v>265</v>
      </c>
      <c r="E74" s="63" t="s">
        <v>88</v>
      </c>
      <c r="F74" s="82" t="s">
        <v>23</v>
      </c>
      <c r="G74" s="83">
        <v>100</v>
      </c>
      <c r="H74" s="21">
        <f>IF(OR(J74="",K74="",K74&lt;J74),0,NETWORKDAYS(J74,K74,[1]fESTIVOS!$A$2:$A$53))</f>
        <v>2</v>
      </c>
      <c r="I74" s="66">
        <v>45936</v>
      </c>
      <c r="J74" s="67">
        <v>45936</v>
      </c>
      <c r="K74" s="67">
        <v>45937</v>
      </c>
      <c r="L74" s="67">
        <v>45937</v>
      </c>
      <c r="M74" s="25">
        <f ca="1">IF(OR(J74="",AND(L74="",TODAY()&lt;J74),AND(L74&lt;&gt;"",L74&lt;J74)),0,
   IF(L74="",
      NETWORKDAYS(J74,TODAY(),[1]fESTIVOS!$A$2:$A$53),
      NETWORKDAYS(J74,L74,[1]fESTIVOS!$A$2:$A$53)
   )
)</f>
        <v>2</v>
      </c>
      <c r="N74" s="84"/>
      <c r="O74" s="84"/>
      <c r="P74" s="85"/>
      <c r="Q74" s="74" t="s">
        <v>266</v>
      </c>
      <c r="R74" s="71" t="s">
        <v>25</v>
      </c>
      <c r="S74" s="70"/>
    </row>
    <row r="75" spans="1:19" ht="29.25" customHeight="1">
      <c r="A75" s="15" t="s">
        <v>19</v>
      </c>
      <c r="B75" s="19" t="s">
        <v>267</v>
      </c>
      <c r="C75" s="61" t="s">
        <v>268</v>
      </c>
      <c r="D75" s="72" t="s">
        <v>269</v>
      </c>
      <c r="E75" s="63" t="s">
        <v>22</v>
      </c>
      <c r="F75" s="64" t="s">
        <v>23</v>
      </c>
      <c r="G75" s="65">
        <v>100</v>
      </c>
      <c r="H75" s="21">
        <f>IF(OR(J75="",K75="",K75&lt;J75),0,NETWORKDAYS(J75,K75,[1]fESTIVOS!$A$2:$A$53))</f>
        <v>2</v>
      </c>
      <c r="I75" s="66">
        <v>45938</v>
      </c>
      <c r="J75" s="67">
        <v>45938</v>
      </c>
      <c r="K75" s="67">
        <v>45939</v>
      </c>
      <c r="L75" s="67">
        <v>45938</v>
      </c>
      <c r="M75" s="25">
        <f ca="1">IF(OR(J75="",AND(L75="",TODAY()&lt;J75),AND(L75&lt;&gt;"",L75&lt;J75)),0,
   IF(L75="",
      NETWORKDAYS(J75,TODAY(),[1]fESTIVOS!$A$2:$A$53),
      NETWORKDAYS(J75,L75,[1]fESTIVOS!$A$2:$A$53)
   )
)</f>
        <v>1</v>
      </c>
      <c r="N75" s="68"/>
      <c r="O75" s="68"/>
      <c r="P75" s="69"/>
      <c r="Q75" s="74" t="s">
        <v>270</v>
      </c>
      <c r="R75" s="71" t="s">
        <v>25</v>
      </c>
      <c r="S75" s="70"/>
    </row>
    <row r="76" spans="1:19" ht="29.25" customHeight="1">
      <c r="A76" s="15" t="s">
        <v>19</v>
      </c>
      <c r="B76" s="19" t="s">
        <v>271</v>
      </c>
      <c r="C76" s="61" t="s">
        <v>272</v>
      </c>
      <c r="D76" s="72" t="s">
        <v>273</v>
      </c>
      <c r="E76" s="63" t="s">
        <v>22</v>
      </c>
      <c r="F76" s="64" t="s">
        <v>23</v>
      </c>
      <c r="G76" s="65">
        <v>100</v>
      </c>
      <c r="H76" s="21">
        <f>IF(OR(J76="",K76="",K76&lt;J76),0,NETWORKDAYS(J76,K76,[1]fESTIVOS!$A$2:$A$53))</f>
        <v>2</v>
      </c>
      <c r="I76" s="66">
        <v>45939</v>
      </c>
      <c r="J76" s="67">
        <v>45939</v>
      </c>
      <c r="K76" s="67">
        <v>45940</v>
      </c>
      <c r="L76" s="67">
        <v>45939</v>
      </c>
      <c r="M76" s="25">
        <f ca="1">IF(OR(J76="",AND(L76="",TODAY()&lt;J76),AND(L76&lt;&gt;"",L76&lt;J76)),0,
   IF(L76="",
      NETWORKDAYS(J76,TODAY(),[1]fESTIVOS!$A$2:$A$53),
      NETWORKDAYS(J76,L76,[1]fESTIVOS!$A$2:$A$53)
   )
)</f>
        <v>1</v>
      </c>
      <c r="N76" s="68"/>
      <c r="O76" s="68"/>
      <c r="P76" s="69"/>
      <c r="Q76" s="74" t="s">
        <v>274</v>
      </c>
      <c r="R76" s="71" t="s">
        <v>25</v>
      </c>
      <c r="S76" s="70"/>
    </row>
    <row r="77" spans="1:19" ht="29.25" customHeight="1">
      <c r="A77" s="80" t="s">
        <v>19</v>
      </c>
      <c r="B77" s="63" t="s">
        <v>275</v>
      </c>
      <c r="C77" s="81" t="s">
        <v>276</v>
      </c>
      <c r="D77" s="86" t="s">
        <v>277</v>
      </c>
      <c r="E77" s="63" t="s">
        <v>88</v>
      </c>
      <c r="F77" s="91" t="s">
        <v>23</v>
      </c>
      <c r="G77" s="83">
        <v>100</v>
      </c>
      <c r="H77" s="21">
        <f>IF(OR(J77="",K77="",K77&lt;J77),0,NETWORKDAYS(J77,K77,[1]fESTIVOS!$A$2:$A$53))</f>
        <v>1</v>
      </c>
      <c r="I77" s="87">
        <v>45940</v>
      </c>
      <c r="J77" s="73">
        <v>45940</v>
      </c>
      <c r="K77" s="73">
        <v>45940</v>
      </c>
      <c r="L77" s="73">
        <v>45940</v>
      </c>
      <c r="M77" s="25">
        <f ca="1">IF(OR(J77="",AND(L77="",TODAY()&lt;J77),AND(L77&lt;&gt;"",L77&lt;J77)),0,
   IF(L77="",
      NETWORKDAYS(J77,TODAY(),[1]fESTIVOS!$A$2:$A$53),
      NETWORKDAYS(J77,L77,[1]fESTIVOS!$A$2:$A$53)
   )
)</f>
        <v>1</v>
      </c>
      <c r="N77" s="84"/>
      <c r="O77" s="84"/>
      <c r="P77" s="85"/>
      <c r="Q77" s="74" t="s">
        <v>278</v>
      </c>
      <c r="R77" s="71" t="s">
        <v>25</v>
      </c>
      <c r="S77" s="70"/>
    </row>
    <row r="78" spans="1:19" ht="29.25" customHeight="1">
      <c r="A78" s="80" t="s">
        <v>19</v>
      </c>
      <c r="B78" s="63" t="s">
        <v>279</v>
      </c>
      <c r="C78" s="81" t="s">
        <v>280</v>
      </c>
      <c r="D78" s="92" t="s">
        <v>281</v>
      </c>
      <c r="E78" s="63" t="s">
        <v>105</v>
      </c>
      <c r="F78" s="91" t="s">
        <v>23</v>
      </c>
      <c r="G78" s="83">
        <v>100</v>
      </c>
      <c r="H78" s="21">
        <f>IF(OR(J78="",K78="",K78&lt;J78),0,NETWORKDAYS(J78,K78,[1]fESTIVOS!$A$2:$A$53))</f>
        <v>1</v>
      </c>
      <c r="I78" s="87">
        <v>45937</v>
      </c>
      <c r="J78" s="73">
        <v>45940</v>
      </c>
      <c r="K78" s="73">
        <v>45940</v>
      </c>
      <c r="L78" s="73">
        <v>45940</v>
      </c>
      <c r="M78" s="25">
        <f ca="1">IF(OR(J78="",AND(L78="",TODAY()&lt;J78),AND(L78&lt;&gt;"",L78&lt;J78)),0,
   IF(L78="",
      NETWORKDAYS(J78,TODAY(),[1]fESTIVOS!$A$2:$A$53),
      NETWORKDAYS(J78,L78,[1]fESTIVOS!$A$2:$A$53)
   )
)</f>
        <v>1</v>
      </c>
      <c r="N78" s="84"/>
      <c r="O78" s="84"/>
      <c r="P78" s="85"/>
      <c r="Q78" s="74" t="s">
        <v>282</v>
      </c>
      <c r="R78" s="71" t="s">
        <v>25</v>
      </c>
      <c r="S78" s="70"/>
    </row>
    <row r="79" spans="1:19" ht="29.25" customHeight="1">
      <c r="A79" s="88" t="s">
        <v>19</v>
      </c>
      <c r="B79" s="77" t="s">
        <v>283</v>
      </c>
      <c r="C79" s="89" t="s">
        <v>284</v>
      </c>
      <c r="D79" s="93" t="s">
        <v>285</v>
      </c>
      <c r="E79" s="77" t="s">
        <v>22</v>
      </c>
      <c r="F79" s="64" t="s">
        <v>23</v>
      </c>
      <c r="G79" s="83">
        <v>100</v>
      </c>
      <c r="H79" s="21">
        <f>IF(OR(J79="",K79="",K79&lt;J79),0,NETWORKDAYS(J79,K79,[1]fESTIVOS!$A$2:$A$53))</f>
        <v>1</v>
      </c>
      <c r="I79" s="94">
        <v>45944</v>
      </c>
      <c r="J79" s="95">
        <v>45944</v>
      </c>
      <c r="K79" s="95">
        <v>45944</v>
      </c>
      <c r="L79" s="95">
        <v>45944</v>
      </c>
      <c r="M79" s="25">
        <f ca="1">IF(OR(J79="",AND(L79="",TODAY()&lt;J79),AND(L79&lt;&gt;"",L79&lt;J79)),0,
   IF(L79="",
      NETWORKDAYS(J79,TODAY(),[1]fESTIVOS!$A$2:$A$53),
      NETWORKDAYS(J79,L79,[1]fESTIVOS!$A$2:$A$53)
   )
)</f>
        <v>1</v>
      </c>
      <c r="N79" s="68"/>
      <c r="O79" s="68"/>
      <c r="P79" s="69"/>
      <c r="Q79" s="96" t="s">
        <v>286</v>
      </c>
      <c r="R79" s="79" t="s">
        <v>25</v>
      </c>
      <c r="S79" s="76"/>
    </row>
    <row r="80" spans="1:19" ht="29.25" customHeight="1">
      <c r="A80" s="80" t="s">
        <v>19</v>
      </c>
      <c r="B80" s="63" t="s">
        <v>287</v>
      </c>
      <c r="C80" s="81" t="s">
        <v>225</v>
      </c>
      <c r="D80" s="86" t="s">
        <v>288</v>
      </c>
      <c r="E80" s="63" t="s">
        <v>88</v>
      </c>
      <c r="F80" s="91" t="s">
        <v>23</v>
      </c>
      <c r="G80" s="83">
        <v>100</v>
      </c>
      <c r="H80" s="21">
        <f>IF(OR(J80="",K80="",K80&lt;J80),0,NETWORKDAYS(J80,K80,[1]fESTIVOS!$A$2:$A$53))</f>
        <v>1</v>
      </c>
      <c r="I80" s="94">
        <v>45944</v>
      </c>
      <c r="J80" s="95">
        <v>45944</v>
      </c>
      <c r="K80" s="95">
        <v>45944</v>
      </c>
      <c r="L80" s="95">
        <v>45944</v>
      </c>
      <c r="M80" s="25">
        <f ca="1">IF(OR(J80="",AND(L80="",TODAY()&lt;J80),AND(L80&lt;&gt;"",L80&lt;J80)),0,
   IF(L80="",
      NETWORKDAYS(J80,TODAY(),[1]fESTIVOS!$A$2:$A$53),
      NETWORKDAYS(J80,L80,[1]fESTIVOS!$A$2:$A$53)
   )
)</f>
        <v>1</v>
      </c>
      <c r="N80" s="84"/>
      <c r="O80" s="84"/>
      <c r="P80" s="85"/>
      <c r="Q80" s="96" t="s">
        <v>289</v>
      </c>
      <c r="R80" s="71" t="s">
        <v>25</v>
      </c>
      <c r="S80" s="70"/>
    </row>
    <row r="81" spans="1:19" ht="29.25" customHeight="1">
      <c r="A81" s="80" t="s">
        <v>19</v>
      </c>
      <c r="B81" s="63" t="s">
        <v>290</v>
      </c>
      <c r="C81" s="89" t="s">
        <v>291</v>
      </c>
      <c r="D81" s="86" t="s">
        <v>292</v>
      </c>
      <c r="E81" s="63" t="s">
        <v>22</v>
      </c>
      <c r="F81" s="91" t="s">
        <v>23</v>
      </c>
      <c r="G81" s="83">
        <v>100</v>
      </c>
      <c r="H81" s="21">
        <f>IF(OR(J81="",K81="",K81&lt;J81),0,NETWORKDAYS(J81,K81,[1]fESTIVOS!$A$2:$A$53))</f>
        <v>1</v>
      </c>
      <c r="I81" s="94">
        <v>45944</v>
      </c>
      <c r="J81" s="95">
        <v>45944</v>
      </c>
      <c r="K81" s="95">
        <v>45944</v>
      </c>
      <c r="L81" s="95">
        <v>45944</v>
      </c>
      <c r="M81" s="25">
        <f ca="1">IF(OR(J81="",AND(L81="",TODAY()&lt;J81),AND(L81&lt;&gt;"",L81&lt;J81)),0,
   IF(L81="",
      NETWORKDAYS(J81,TODAY(),[1]fESTIVOS!$A$2:$A$53),
      NETWORKDAYS(J81,L81,[1]fESTIVOS!$A$2:$A$53)
   )
)</f>
        <v>1</v>
      </c>
      <c r="N81" s="84"/>
      <c r="O81" s="84"/>
      <c r="P81" s="85"/>
      <c r="Q81" s="96" t="s">
        <v>293</v>
      </c>
      <c r="R81" s="71" t="s">
        <v>25</v>
      </c>
      <c r="S81" s="70"/>
    </row>
    <row r="82" spans="1:19" ht="29.25" customHeight="1">
      <c r="A82" s="80" t="s">
        <v>19</v>
      </c>
      <c r="B82" s="63" t="s">
        <v>294</v>
      </c>
      <c r="C82" s="89" t="s">
        <v>295</v>
      </c>
      <c r="D82" s="86" t="s">
        <v>296</v>
      </c>
      <c r="E82" s="63" t="s">
        <v>22</v>
      </c>
      <c r="F82" s="91" t="s">
        <v>23</v>
      </c>
      <c r="G82" s="83">
        <v>100</v>
      </c>
      <c r="H82" s="21">
        <f>IF(OR(J82="",K82="",K82&lt;J82),0,NETWORKDAYS(J82,K82,[1]fESTIVOS!$A$2:$A$53))</f>
        <v>1</v>
      </c>
      <c r="I82" s="94">
        <v>45945</v>
      </c>
      <c r="J82" s="95">
        <v>45945</v>
      </c>
      <c r="K82" s="95">
        <v>45945</v>
      </c>
      <c r="L82" s="95">
        <v>45945</v>
      </c>
      <c r="M82" s="25">
        <f ca="1">IF(OR(J82="",AND(L82="",TODAY()&lt;J82),AND(L82&lt;&gt;"",L82&lt;J82)),0,
   IF(L82="",
      NETWORKDAYS(J82,TODAY(),[1]fESTIVOS!$A$2:$A$53),
      NETWORKDAYS(J82,L82,[1]fESTIVOS!$A$2:$A$53)
   )
)</f>
        <v>1</v>
      </c>
      <c r="N82" s="84"/>
      <c r="O82" s="84"/>
      <c r="P82" s="85"/>
      <c r="Q82" s="96" t="s">
        <v>297</v>
      </c>
      <c r="R82" s="71" t="s">
        <v>25</v>
      </c>
      <c r="S82" s="70"/>
    </row>
    <row r="83" spans="1:19" ht="29.25" customHeight="1">
      <c r="A83" s="80" t="s">
        <v>19</v>
      </c>
      <c r="B83" s="63" t="s">
        <v>298</v>
      </c>
      <c r="C83" s="89" t="s">
        <v>299</v>
      </c>
      <c r="D83" s="86" t="s">
        <v>300</v>
      </c>
      <c r="E83" s="63" t="s">
        <v>22</v>
      </c>
      <c r="F83" s="91" t="s">
        <v>23</v>
      </c>
      <c r="G83" s="83">
        <v>100</v>
      </c>
      <c r="H83" s="21">
        <f>IF(OR(J83="",K83="",K83&lt;J83),0,NETWORKDAYS(J83,K83,[1]fESTIVOS!$A$2:$A$53))</f>
        <v>3</v>
      </c>
      <c r="I83" s="94">
        <v>45946</v>
      </c>
      <c r="J83" s="95">
        <v>45946</v>
      </c>
      <c r="K83" s="95">
        <v>45950</v>
      </c>
      <c r="L83" s="95">
        <v>45947</v>
      </c>
      <c r="M83" s="25">
        <f ca="1">IF(OR(J83="",AND(L83="",TODAY()&lt;J83),AND(L83&lt;&gt;"",L83&lt;J83)),0,
   IF(L83="",
      NETWORKDAYS(J83,TODAY(),[1]fESTIVOS!$A$2:$A$53),
      NETWORKDAYS(J83,L83,[1]fESTIVOS!$A$2:$A$53)
   )
)</f>
        <v>2</v>
      </c>
      <c r="N83" s="84"/>
      <c r="O83" s="84"/>
      <c r="P83" s="85"/>
      <c r="Q83" s="96" t="s">
        <v>301</v>
      </c>
      <c r="R83" s="71" t="s">
        <v>25</v>
      </c>
      <c r="S83" s="70"/>
    </row>
    <row r="84" spans="1:19" ht="29.25" customHeight="1">
      <c r="A84" s="80" t="s">
        <v>19</v>
      </c>
      <c r="B84" s="63" t="s">
        <v>302</v>
      </c>
      <c r="C84" s="89" t="s">
        <v>303</v>
      </c>
      <c r="D84" s="86" t="s">
        <v>304</v>
      </c>
      <c r="E84" s="63" t="s">
        <v>22</v>
      </c>
      <c r="F84" s="91" t="s">
        <v>23</v>
      </c>
      <c r="G84" s="83">
        <v>100</v>
      </c>
      <c r="H84" s="21">
        <f>IF(OR(J84="",K84="",K84&lt;J84),0,NETWORKDAYS(J84,K84,[1]fESTIVOS!$A$2:$A$53))</f>
        <v>2</v>
      </c>
      <c r="I84" s="94">
        <v>45946</v>
      </c>
      <c r="J84" s="95">
        <v>45946</v>
      </c>
      <c r="K84" s="95">
        <v>45947</v>
      </c>
      <c r="L84" s="95">
        <v>45946</v>
      </c>
      <c r="M84" s="25">
        <f ca="1">IF(OR(J84="",AND(L84="",TODAY()&lt;J84),AND(L84&lt;&gt;"",L84&lt;J84)),0,
   IF(L84="",
      NETWORKDAYS(J84,TODAY(),[1]fESTIVOS!$A$2:$A$53),
      NETWORKDAYS(J84,L84,[1]fESTIVOS!$A$2:$A$53)
   )
)</f>
        <v>1</v>
      </c>
      <c r="N84" s="84"/>
      <c r="O84" s="84"/>
      <c r="P84" s="85"/>
      <c r="Q84" s="96" t="s">
        <v>305</v>
      </c>
      <c r="R84" s="71" t="s">
        <v>25</v>
      </c>
      <c r="S84" s="70"/>
    </row>
    <row r="85" spans="1:19" ht="29.25" customHeight="1">
      <c r="A85" s="80" t="s">
        <v>19</v>
      </c>
      <c r="B85" s="63" t="s">
        <v>306</v>
      </c>
      <c r="C85" s="89" t="s">
        <v>307</v>
      </c>
      <c r="D85" s="86" t="s">
        <v>308</v>
      </c>
      <c r="E85" s="63" t="s">
        <v>22</v>
      </c>
      <c r="F85" s="91" t="s">
        <v>23</v>
      </c>
      <c r="G85" s="83">
        <v>100</v>
      </c>
      <c r="H85" s="21">
        <f>IF(OR(J85="",K85="",K85&lt;J85),0,NETWORKDAYS(J85,K85,[1]fESTIVOS!$A$2:$A$53))</f>
        <v>3</v>
      </c>
      <c r="I85" s="94">
        <v>45947</v>
      </c>
      <c r="J85" s="95">
        <v>45950</v>
      </c>
      <c r="K85" s="95">
        <v>45952</v>
      </c>
      <c r="L85" s="95">
        <v>45951</v>
      </c>
      <c r="M85" s="25">
        <f ca="1">IF(OR(J85="",AND(L85="",TODAY()&lt;J85),AND(L85&lt;&gt;"",L85&lt;J85)),0,
   IF(L85="",
      NETWORKDAYS(J85,TODAY(),[1]fESTIVOS!$A$2:$A$53),
      NETWORKDAYS(J85,L85,[1]fESTIVOS!$A$2:$A$53)
   )
)</f>
        <v>2</v>
      </c>
      <c r="N85" s="84"/>
      <c r="O85" s="84"/>
      <c r="P85" s="85"/>
      <c r="Q85" s="96" t="s">
        <v>309</v>
      </c>
      <c r="R85" s="71" t="s">
        <v>25</v>
      </c>
      <c r="S85" s="70"/>
    </row>
    <row r="86" spans="1:19" ht="29.25" customHeight="1">
      <c r="A86" s="88" t="s">
        <v>19</v>
      </c>
      <c r="B86" s="77" t="s">
        <v>310</v>
      </c>
      <c r="C86" s="89" t="s">
        <v>303</v>
      </c>
      <c r="D86" s="93" t="s">
        <v>304</v>
      </c>
      <c r="E86" s="77" t="s">
        <v>22</v>
      </c>
      <c r="F86" s="64" t="s">
        <v>23</v>
      </c>
      <c r="G86" s="78">
        <v>100</v>
      </c>
      <c r="H86" s="21">
        <f>IF(OR(J86="",K86="",K86&lt;J86),0,NETWORKDAYS(J86,K86,[1]fESTIVOS!$A$2:$A$53))</f>
        <v>2</v>
      </c>
      <c r="I86" s="94">
        <v>45946</v>
      </c>
      <c r="J86" s="95">
        <v>45946</v>
      </c>
      <c r="K86" s="95">
        <v>45947</v>
      </c>
      <c r="L86" s="95">
        <v>45946</v>
      </c>
      <c r="M86" s="25">
        <f ca="1">IF(OR(J86="",AND(L86="",TODAY()&lt;J86),AND(L86&lt;&gt;"",L86&lt;J86)),0,
   IF(L86="",
      NETWORKDAYS(J86,TODAY(),[1]fESTIVOS!$A$2:$A$53),
      NETWORKDAYS(J86,L86,[1]fESTIVOS!$A$2:$A$53)
   )
)</f>
        <v>1</v>
      </c>
      <c r="N86" s="68"/>
      <c r="O86" s="68"/>
      <c r="P86" s="69"/>
      <c r="Q86" s="96" t="s">
        <v>305</v>
      </c>
      <c r="R86" s="79" t="s">
        <v>25</v>
      </c>
      <c r="S86" s="76"/>
    </row>
    <row r="87" spans="1:19" ht="29.25" customHeight="1">
      <c r="A87" s="15" t="s">
        <v>19</v>
      </c>
      <c r="B87" s="19" t="s">
        <v>311</v>
      </c>
      <c r="C87" s="61" t="s">
        <v>268</v>
      </c>
      <c r="D87" s="72" t="s">
        <v>312</v>
      </c>
      <c r="E87" s="63" t="s">
        <v>22</v>
      </c>
      <c r="F87" s="64" t="s">
        <v>23</v>
      </c>
      <c r="G87" s="65">
        <v>100</v>
      </c>
      <c r="H87" s="21">
        <f>IF(OR(J87="",K87="",K87&lt;J87),0,NETWORKDAYS(J87,K87,[1]fESTIVOS!$A$2:$A$53))</f>
        <v>2</v>
      </c>
      <c r="I87" s="66">
        <v>45951</v>
      </c>
      <c r="J87" s="67">
        <v>45952</v>
      </c>
      <c r="K87" s="67">
        <v>45953</v>
      </c>
      <c r="L87" s="67">
        <v>45952</v>
      </c>
      <c r="M87" s="25">
        <f ca="1">IF(OR(J87="",AND(L87="",TODAY()&lt;J87),AND(L87&lt;&gt;"",L87&lt;J87)),0,
   IF(L87="",
      NETWORKDAYS(J87,TODAY(),[1]fESTIVOS!$A$2:$A$53),
      NETWORKDAYS(J87,L87,[1]fESTIVOS!$A$2:$A$53)
   )
)</f>
        <v>1</v>
      </c>
      <c r="N87" s="68"/>
      <c r="O87" s="68"/>
      <c r="P87" s="69"/>
      <c r="Q87" s="74" t="s">
        <v>313</v>
      </c>
      <c r="R87" s="71" t="s">
        <v>25</v>
      </c>
      <c r="S87" s="70"/>
    </row>
    <row r="88" spans="1:19" ht="29.25" customHeight="1">
      <c r="A88" s="15" t="s">
        <v>19</v>
      </c>
      <c r="B88" s="19" t="s">
        <v>314</v>
      </c>
      <c r="C88" s="61" t="s">
        <v>268</v>
      </c>
      <c r="D88" s="72" t="s">
        <v>315</v>
      </c>
      <c r="E88" s="63" t="s">
        <v>22</v>
      </c>
      <c r="F88" s="64" t="s">
        <v>23</v>
      </c>
      <c r="G88" s="65">
        <v>100</v>
      </c>
      <c r="H88" s="21">
        <f>IF(OR(J88="",K88="",K88&lt;J88),0,NETWORKDAYS(J88,K88,[1]fESTIVOS!$A$2:$A$53))</f>
        <v>2</v>
      </c>
      <c r="I88" s="66">
        <v>45951</v>
      </c>
      <c r="J88" s="67">
        <v>45952</v>
      </c>
      <c r="K88" s="67">
        <v>45953</v>
      </c>
      <c r="L88" s="67">
        <v>45953</v>
      </c>
      <c r="M88" s="25">
        <f ca="1">IF(OR(J88="",AND(L88="",TODAY()&lt;J88),AND(L88&lt;&gt;"",L88&lt;J88)),0,
   IF(L88="",
      NETWORKDAYS(J88,TODAY(),[1]fESTIVOS!$A$2:$A$53),
      NETWORKDAYS(J88,L88,[1]fESTIVOS!$A$2:$A$53)
   )
)</f>
        <v>2</v>
      </c>
      <c r="N88" s="68"/>
      <c r="O88" s="68"/>
      <c r="P88" s="69"/>
      <c r="Q88" s="74" t="s">
        <v>316</v>
      </c>
      <c r="R88" s="71" t="s">
        <v>25</v>
      </c>
      <c r="S88" s="70"/>
    </row>
    <row r="89" spans="1:19" ht="29.25" customHeight="1">
      <c r="A89" s="15" t="s">
        <v>19</v>
      </c>
      <c r="B89" s="19" t="s">
        <v>317</v>
      </c>
      <c r="C89" s="61" t="s">
        <v>318</v>
      </c>
      <c r="D89" s="72" t="s">
        <v>319</v>
      </c>
      <c r="E89" s="63" t="s">
        <v>22</v>
      </c>
      <c r="F89" s="64" t="s">
        <v>23</v>
      </c>
      <c r="G89" s="65">
        <v>100</v>
      </c>
      <c r="H89" s="21">
        <f>IF(OR(J89="",K89="",K89&lt;J89),0,NETWORKDAYS(J89,K89,[1]fESTIVOS!$A$2:$A$53))</f>
        <v>14</v>
      </c>
      <c r="I89" s="66">
        <v>45957</v>
      </c>
      <c r="J89" s="67">
        <v>45957</v>
      </c>
      <c r="K89" s="67">
        <v>45976</v>
      </c>
      <c r="L89" s="67">
        <v>45986</v>
      </c>
      <c r="M89" s="25">
        <f ca="1">IF(OR(J89="",AND(L89="",TODAY()&lt;J89),AND(L89&lt;&gt;"",L89&lt;J89)),0,
   IF(L89="",
      NETWORKDAYS(J89,TODAY(),[1]fESTIVOS!$A$2:$A$53),
      NETWORKDAYS(J89,L89,[1]fESTIVOS!$A$2:$A$53)
   )
)</f>
        <v>20</v>
      </c>
      <c r="N89" s="68"/>
      <c r="O89" s="68"/>
      <c r="P89" s="69"/>
      <c r="Q89" s="74" t="s">
        <v>320</v>
      </c>
      <c r="R89" s="71" t="s">
        <v>25</v>
      </c>
      <c r="S89" s="70"/>
    </row>
    <row r="90" spans="1:19" ht="29.25" customHeight="1">
      <c r="A90" s="80" t="s">
        <v>19</v>
      </c>
      <c r="B90" s="63" t="s">
        <v>321</v>
      </c>
      <c r="C90" s="81" t="s">
        <v>232</v>
      </c>
      <c r="D90" s="86" t="s">
        <v>322</v>
      </c>
      <c r="E90" s="63" t="s">
        <v>323</v>
      </c>
      <c r="F90" s="82" t="s">
        <v>23</v>
      </c>
      <c r="G90" s="83">
        <v>100</v>
      </c>
      <c r="H90" s="21">
        <f>IF(OR(J90="",K90="",K90&lt;J90),0,NETWORKDAYS(J90,K90,[1]fESTIVOS!$A$2:$A$53))</f>
        <v>3</v>
      </c>
      <c r="I90" s="87">
        <v>45957</v>
      </c>
      <c r="J90" s="67">
        <v>45957</v>
      </c>
      <c r="K90" s="73">
        <v>45959</v>
      </c>
      <c r="L90" s="73">
        <v>45958</v>
      </c>
      <c r="M90" s="25">
        <f ca="1">IF(OR(J90="",AND(L90="",TODAY()&lt;J90),AND(L90&lt;&gt;"",L90&lt;J90)),0,
   IF(L90="",
      NETWORKDAYS(J90,TODAY(),[1]fESTIVOS!$A$2:$A$53),
      NETWORKDAYS(J90,L90,[1]fESTIVOS!$A$2:$A$53)
   )
)</f>
        <v>2</v>
      </c>
      <c r="N90" s="84"/>
      <c r="O90" s="84"/>
      <c r="P90" s="85"/>
      <c r="Q90" s="74" t="s">
        <v>324</v>
      </c>
      <c r="R90" s="71" t="s">
        <v>25</v>
      </c>
      <c r="S90" s="70"/>
    </row>
    <row r="91" spans="1:19" ht="29.25" customHeight="1">
      <c r="A91" s="80" t="s">
        <v>19</v>
      </c>
      <c r="B91" s="63" t="s">
        <v>325</v>
      </c>
      <c r="C91" s="81" t="s">
        <v>232</v>
      </c>
      <c r="D91" s="86"/>
      <c r="E91" s="63" t="s">
        <v>42</v>
      </c>
      <c r="F91" s="82" t="s">
        <v>23</v>
      </c>
      <c r="G91" s="83">
        <v>100</v>
      </c>
      <c r="H91" s="21">
        <f>IF(OR(J91="",K91="",K91&lt;J91),0,NETWORKDAYS(J91,K91,[1]fESTIVOS!$A$2:$A$53))</f>
        <v>1</v>
      </c>
      <c r="I91" s="87">
        <v>45961</v>
      </c>
      <c r="J91" s="73">
        <v>45961</v>
      </c>
      <c r="K91" s="73">
        <v>45961</v>
      </c>
      <c r="L91" s="73">
        <v>45961</v>
      </c>
      <c r="M91" s="25">
        <f ca="1">IF(OR(J91="",AND(L91="",TODAY()&lt;J91),AND(L91&lt;&gt;"",L91&lt;J91)),0,
   IF(L91="",
      NETWORKDAYS(J91,TODAY(),[1]fESTIVOS!$A$2:$A$53),
      NETWORKDAYS(J91,L91,[1]fESTIVOS!$A$2:$A$53)
   )
)</f>
        <v>1</v>
      </c>
      <c r="N91" s="84"/>
      <c r="O91" s="84"/>
      <c r="P91" s="85"/>
      <c r="Q91" s="74" t="s">
        <v>326</v>
      </c>
      <c r="R91" s="71" t="s">
        <v>25</v>
      </c>
      <c r="S91" s="70"/>
    </row>
    <row r="92" spans="1:19" ht="29.25" customHeight="1">
      <c r="A92" s="80" t="s">
        <v>19</v>
      </c>
      <c r="B92" s="63" t="s">
        <v>327</v>
      </c>
      <c r="C92" s="81" t="s">
        <v>328</v>
      </c>
      <c r="D92" s="92"/>
      <c r="E92" s="63" t="s">
        <v>105</v>
      </c>
      <c r="F92" s="91" t="s">
        <v>23</v>
      </c>
      <c r="G92" s="83">
        <v>100</v>
      </c>
      <c r="H92" s="21">
        <f>IF(OR(J92="",K92="",K92&lt;J92),0,NETWORKDAYS(J92,K92,[1]fESTIVOS!$A$2:$A$53))</f>
        <v>2</v>
      </c>
      <c r="I92" s="87">
        <v>45961</v>
      </c>
      <c r="J92" s="73">
        <v>45965</v>
      </c>
      <c r="K92" s="73">
        <v>45966</v>
      </c>
      <c r="L92" s="73">
        <v>45965</v>
      </c>
      <c r="M92" s="25">
        <f ca="1">IF(OR(J92="",AND(L92="",TODAY()&lt;J92),AND(L92&lt;&gt;"",L92&lt;J92)),0,
   IF(L92="",
      NETWORKDAYS(J92,TODAY(),[1]fESTIVOS!$A$2:$A$53),
      NETWORKDAYS(J92,L92,[1]fESTIVOS!$A$2:$A$53)
   )
)</f>
        <v>1</v>
      </c>
      <c r="N92" s="84"/>
      <c r="O92" s="84"/>
      <c r="P92" s="85"/>
      <c r="Q92" s="74" t="s">
        <v>329</v>
      </c>
      <c r="R92" s="71" t="s">
        <v>25</v>
      </c>
      <c r="S92" s="70"/>
    </row>
    <row r="93" spans="1:19" ht="29.25" customHeight="1">
      <c r="A93" s="80" t="s">
        <v>19</v>
      </c>
      <c r="B93" s="63" t="s">
        <v>330</v>
      </c>
      <c r="C93" s="81" t="s">
        <v>331</v>
      </c>
      <c r="D93" s="86"/>
      <c r="E93" s="63" t="s">
        <v>88</v>
      </c>
      <c r="F93" s="91" t="s">
        <v>23</v>
      </c>
      <c r="G93" s="83">
        <v>100</v>
      </c>
      <c r="H93" s="21">
        <f>IF(OR(J93="",K93="",K93&lt;J93),0,NETWORKDAYS(J93,K93,[1]fESTIVOS!$A$2:$A$53))</f>
        <v>1</v>
      </c>
      <c r="I93" s="94">
        <v>45965</v>
      </c>
      <c r="J93" s="95">
        <v>45966</v>
      </c>
      <c r="K93" s="95">
        <v>45966</v>
      </c>
      <c r="L93" s="95">
        <v>45966</v>
      </c>
      <c r="M93" s="25">
        <f ca="1">IF(OR(J93="",AND(L93="",TODAY()&lt;J93),AND(L93&lt;&gt;"",L93&lt;J93)),0,
   IF(L93="",
      NETWORKDAYS(J93,TODAY(),[1]fESTIVOS!$A$2:$A$53),
      NETWORKDAYS(J93,L93,[1]fESTIVOS!$A$2:$A$53)
   )
)</f>
        <v>1</v>
      </c>
      <c r="N93" s="84"/>
      <c r="O93" s="84"/>
      <c r="P93" s="85"/>
      <c r="Q93" s="74" t="s">
        <v>332</v>
      </c>
      <c r="R93" s="71" t="s">
        <v>25</v>
      </c>
      <c r="S93" s="70"/>
    </row>
    <row r="94" spans="1:19" ht="29.25" customHeight="1">
      <c r="A94" s="80" t="s">
        <v>19</v>
      </c>
      <c r="B94" s="63" t="s">
        <v>333</v>
      </c>
      <c r="C94" s="81" t="s">
        <v>331</v>
      </c>
      <c r="D94" s="86"/>
      <c r="E94" s="63" t="s">
        <v>88</v>
      </c>
      <c r="F94" s="91" t="s">
        <v>23</v>
      </c>
      <c r="G94" s="83">
        <v>100</v>
      </c>
      <c r="H94" s="21">
        <f>IF(OR(J94="",K94="",K94&lt;J94),0,NETWORKDAYS(J94,K94,[1]fESTIVOS!$A$2:$A$53))</f>
        <v>1</v>
      </c>
      <c r="I94" s="94">
        <v>45967</v>
      </c>
      <c r="J94" s="95">
        <v>45967</v>
      </c>
      <c r="K94" s="95">
        <v>45967</v>
      </c>
      <c r="L94" s="95">
        <v>45967</v>
      </c>
      <c r="M94" s="25">
        <f ca="1">IF(OR(J94="",AND(L94="",TODAY()&lt;J94),AND(L94&lt;&gt;"",L94&lt;J94)),0,
   IF(L94="",
      NETWORKDAYS(J94,TODAY(),[1]fESTIVOS!$A$2:$A$53),
      NETWORKDAYS(J94,L94,[1]fESTIVOS!$A$2:$A$53)
   )
)</f>
        <v>1</v>
      </c>
      <c r="N94" s="84"/>
      <c r="O94" s="84"/>
      <c r="P94" s="85"/>
      <c r="Q94" s="74" t="s">
        <v>334</v>
      </c>
      <c r="R94" s="71" t="s">
        <v>25</v>
      </c>
      <c r="S94" s="70"/>
    </row>
    <row r="95" spans="1:19" ht="29.25" customHeight="1">
      <c r="A95" s="80" t="s">
        <v>19</v>
      </c>
      <c r="B95" s="63" t="s">
        <v>335</v>
      </c>
      <c r="C95" s="81" t="s">
        <v>336</v>
      </c>
      <c r="D95" s="86"/>
      <c r="E95" s="63" t="s">
        <v>88</v>
      </c>
      <c r="F95" s="91" t="s">
        <v>23</v>
      </c>
      <c r="G95" s="83">
        <v>100</v>
      </c>
      <c r="H95" s="21">
        <f>IF(OR(J95="",K95="",K95&lt;J95),0,NETWORKDAYS(J95,K95,[1]fESTIVOS!$A$2:$A$53))</f>
        <v>1</v>
      </c>
      <c r="I95" s="94">
        <v>45967</v>
      </c>
      <c r="J95" s="95">
        <v>45967</v>
      </c>
      <c r="K95" s="95">
        <v>45967</v>
      </c>
      <c r="L95" s="95">
        <v>45967</v>
      </c>
      <c r="M95" s="25">
        <f ca="1">IF(OR(J95="",AND(L95="",TODAY()&lt;J95),AND(L95&lt;&gt;"",L95&lt;J95)),0,
   IF(L95="",
      NETWORKDAYS(J95,TODAY(),[1]fESTIVOS!$A$2:$A$53),
      NETWORKDAYS(J95,L95,[1]fESTIVOS!$A$2:$A$53)
   )
)</f>
        <v>1</v>
      </c>
      <c r="N95" s="84"/>
      <c r="O95" s="84"/>
      <c r="P95" s="85"/>
      <c r="Q95" s="74" t="s">
        <v>337</v>
      </c>
      <c r="R95" s="71" t="s">
        <v>25</v>
      </c>
      <c r="S95" s="70"/>
    </row>
    <row r="96" spans="1:19" ht="29.25" customHeight="1">
      <c r="A96" s="80" t="s">
        <v>19</v>
      </c>
      <c r="B96" s="63" t="s">
        <v>338</v>
      </c>
      <c r="C96" s="81" t="s">
        <v>328</v>
      </c>
      <c r="D96" s="92" t="s">
        <v>339</v>
      </c>
      <c r="E96" s="63" t="s">
        <v>105</v>
      </c>
      <c r="F96" s="91" t="s">
        <v>23</v>
      </c>
      <c r="G96" s="83">
        <v>100</v>
      </c>
      <c r="H96" s="21">
        <f>IF(OR(J96="",K96="",K96&lt;J96),0,NETWORKDAYS(J96,K96,[1]fESTIVOS!$A$2:$A$53))</f>
        <v>1</v>
      </c>
      <c r="I96" s="87">
        <v>45968</v>
      </c>
      <c r="J96" s="73">
        <v>45968</v>
      </c>
      <c r="K96" s="73">
        <v>45968</v>
      </c>
      <c r="L96" s="73">
        <v>45968</v>
      </c>
      <c r="M96" s="25">
        <f ca="1">IF(OR(J96="",AND(L96="",TODAY()&lt;J96),AND(L96&lt;&gt;"",L96&lt;J96)),0,
   IF(L96="",
      NETWORKDAYS(J96,TODAY(),[1]fESTIVOS!$A$2:$A$53),
      NETWORKDAYS(J96,L96,[1]fESTIVOS!$A$2:$A$53)
   )
)</f>
        <v>1</v>
      </c>
      <c r="N96" s="84"/>
      <c r="O96" s="84"/>
      <c r="P96" s="85"/>
      <c r="Q96" s="74" t="s">
        <v>340</v>
      </c>
      <c r="R96" s="71" t="s">
        <v>25</v>
      </c>
      <c r="S96" s="70"/>
    </row>
    <row r="97" spans="1:19" ht="29.25" customHeight="1">
      <c r="A97" s="80" t="s">
        <v>19</v>
      </c>
      <c r="B97" s="63" t="s">
        <v>341</v>
      </c>
      <c r="C97" s="81" t="s">
        <v>232</v>
      </c>
      <c r="D97" s="86"/>
      <c r="E97" s="63" t="s">
        <v>42</v>
      </c>
      <c r="F97" s="82" t="s">
        <v>23</v>
      </c>
      <c r="G97" s="83">
        <v>100</v>
      </c>
      <c r="H97" s="21">
        <f>IF(OR(J97="",K97="",K97&lt;J97),0,NETWORKDAYS(J97,K97,[1]fESTIVOS!$A$2:$A$53))</f>
        <v>1</v>
      </c>
      <c r="I97" s="87">
        <v>45968</v>
      </c>
      <c r="J97" s="73">
        <v>45968</v>
      </c>
      <c r="K97" s="73">
        <v>45968</v>
      </c>
      <c r="L97" s="73">
        <v>45968</v>
      </c>
      <c r="M97" s="25">
        <f ca="1">IF(OR(J97="",AND(L97="",TODAY()&lt;J97),AND(L97&lt;&gt;"",L97&lt;J97)),0,
   IF(L97="",
      NETWORKDAYS(J97,TODAY(),[1]fESTIVOS!$A$2:$A$53),
      NETWORKDAYS(J97,L97,[1]fESTIVOS!$A$2:$A$53)
   )
)</f>
        <v>1</v>
      </c>
      <c r="N97" s="84"/>
      <c r="O97" s="84"/>
      <c r="P97" s="85"/>
      <c r="Q97" s="74" t="s">
        <v>342</v>
      </c>
      <c r="R97" s="71" t="s">
        <v>25</v>
      </c>
      <c r="S97" s="70"/>
    </row>
    <row r="98" spans="1:19" ht="29.25" customHeight="1">
      <c r="A98" s="80" t="s">
        <v>19</v>
      </c>
      <c r="B98" s="63" t="s">
        <v>343</v>
      </c>
      <c r="C98" s="81" t="s">
        <v>344</v>
      </c>
      <c r="D98" s="86" t="s">
        <v>345</v>
      </c>
      <c r="E98" s="63" t="s">
        <v>88</v>
      </c>
      <c r="F98" s="91" t="s">
        <v>23</v>
      </c>
      <c r="G98" s="83">
        <v>100</v>
      </c>
      <c r="H98" s="21">
        <f>IF(OR(J98="",K98="",K98&lt;J98),0,NETWORKDAYS(J98,K98,[1]fESTIVOS!$A$2:$A$53))</f>
        <v>0</v>
      </c>
      <c r="I98" s="94">
        <v>45970</v>
      </c>
      <c r="J98" s="95">
        <v>45970</v>
      </c>
      <c r="K98" s="95">
        <v>45970</v>
      </c>
      <c r="L98" s="95">
        <v>45970</v>
      </c>
      <c r="M98" s="25">
        <f ca="1">IF(OR(J98="",AND(L98="",TODAY()&lt;J98),AND(L98&lt;&gt;"",L98&lt;J98)),0,
   IF(L98="",
      NETWORKDAYS(J98,TODAY(),[1]fESTIVOS!$A$2:$A$53),
      NETWORKDAYS(J98,L98,[1]fESTIVOS!$A$2:$A$53)
   )
)</f>
        <v>0</v>
      </c>
      <c r="N98" s="84"/>
      <c r="O98" s="84"/>
      <c r="P98" s="85"/>
      <c r="Q98" s="74" t="s">
        <v>346</v>
      </c>
      <c r="R98" s="71" t="s">
        <v>25</v>
      </c>
      <c r="S98" s="70"/>
    </row>
    <row r="99" spans="1:19" ht="29.25" customHeight="1">
      <c r="A99" s="80" t="s">
        <v>19</v>
      </c>
      <c r="B99" s="63" t="s">
        <v>347</v>
      </c>
      <c r="C99" s="81" t="s">
        <v>348</v>
      </c>
      <c r="D99" s="86" t="s">
        <v>349</v>
      </c>
      <c r="E99" s="63" t="s">
        <v>88</v>
      </c>
      <c r="F99" s="91" t="s">
        <v>23</v>
      </c>
      <c r="G99" s="83">
        <v>100</v>
      </c>
      <c r="H99" s="21">
        <f>IF(OR(J99="",K99="",K99&lt;J99),0,NETWORKDAYS(J99,K99,[1]fESTIVOS!$A$2:$A$53))</f>
        <v>1</v>
      </c>
      <c r="I99" s="94">
        <v>45972</v>
      </c>
      <c r="J99" s="95">
        <v>45972</v>
      </c>
      <c r="K99" s="95">
        <v>45972</v>
      </c>
      <c r="L99" s="95">
        <v>45972</v>
      </c>
      <c r="M99" s="25">
        <f ca="1">IF(OR(J99="",AND(L99="",TODAY()&lt;J99),AND(L99&lt;&gt;"",L99&lt;J99)),0,
   IF(L99="",
      NETWORKDAYS(J99,TODAY(),[1]fESTIVOS!$A$2:$A$53),
      NETWORKDAYS(J99,L99,[1]fESTIVOS!$A$2:$A$53)
   )
)</f>
        <v>1</v>
      </c>
      <c r="N99" s="84"/>
      <c r="O99" s="84"/>
      <c r="P99" s="85"/>
      <c r="Q99" s="74" t="s">
        <v>350</v>
      </c>
      <c r="R99" s="71" t="s">
        <v>25</v>
      </c>
      <c r="S99" s="70"/>
    </row>
    <row r="100" spans="1:19" ht="29.25" customHeight="1">
      <c r="A100" s="80" t="s">
        <v>19</v>
      </c>
      <c r="B100" s="63" t="s">
        <v>351</v>
      </c>
      <c r="C100" s="81" t="s">
        <v>328</v>
      </c>
      <c r="D100" s="92" t="s">
        <v>352</v>
      </c>
      <c r="E100" s="63" t="s">
        <v>105</v>
      </c>
      <c r="F100" s="91" t="s">
        <v>23</v>
      </c>
      <c r="G100" s="83">
        <v>100</v>
      </c>
      <c r="H100" s="21">
        <f>IF(OR(J100="",K100="",K100&lt;J100),0,NETWORKDAYS(J100,K100,[1]fESTIVOS!$A$2:$A$53))</f>
        <v>3</v>
      </c>
      <c r="I100" s="87">
        <v>45974</v>
      </c>
      <c r="J100" s="73">
        <v>45974</v>
      </c>
      <c r="K100" s="73">
        <v>45979</v>
      </c>
      <c r="L100" s="73">
        <v>46040</v>
      </c>
      <c r="M100" s="25">
        <f ca="1">IF(OR(J100="",AND(L100="",TODAY()&lt;J100),AND(L100&lt;&gt;"",L100&lt;J100)),0,
   IF(L100="",
      NETWORKDAYS(J100,TODAY(),[1]fESTIVOS!$A$2:$A$53),
      NETWORKDAYS(J100,L100,[1]fESTIVOS!$A$2:$A$53)
   )
)</f>
        <v>42</v>
      </c>
      <c r="N100" s="84"/>
      <c r="O100" s="84"/>
      <c r="P100" s="85"/>
      <c r="Q100" s="74" t="s">
        <v>353</v>
      </c>
      <c r="R100" s="71" t="s">
        <v>25</v>
      </c>
      <c r="S100" s="70"/>
    </row>
    <row r="101" spans="1:19" ht="29.25" customHeight="1">
      <c r="A101" s="80" t="s">
        <v>19</v>
      </c>
      <c r="B101" s="63" t="s">
        <v>354</v>
      </c>
      <c r="C101" s="81" t="s">
        <v>232</v>
      </c>
      <c r="D101" s="86" t="s">
        <v>355</v>
      </c>
      <c r="E101" s="63" t="s">
        <v>42</v>
      </c>
      <c r="F101" s="82" t="s">
        <v>23</v>
      </c>
      <c r="G101" s="83">
        <v>100</v>
      </c>
      <c r="H101" s="21">
        <f>IF(OR(J101="",K101="",K101&lt;J101),0,NETWORKDAYS(J101,K101,[1]fESTIVOS!$A$2:$A$53))</f>
        <v>1</v>
      </c>
      <c r="I101" s="87">
        <v>45974</v>
      </c>
      <c r="J101" s="73">
        <v>45974</v>
      </c>
      <c r="K101" s="73">
        <v>45974</v>
      </c>
      <c r="L101" s="73">
        <v>45974</v>
      </c>
      <c r="M101" s="25">
        <f ca="1">IF(OR(J101="",AND(L101="",TODAY()&lt;J101),AND(L101&lt;&gt;"",L101&lt;J101)),0,
   IF(L101="",
      NETWORKDAYS(J101,TODAY(),[1]fESTIVOS!$A$2:$A$53),
      NETWORKDAYS(J101,L101,[1]fESTIVOS!$A$2:$A$53)
   )
)</f>
        <v>1</v>
      </c>
      <c r="N101" s="84"/>
      <c r="O101" s="84"/>
      <c r="P101" s="85"/>
      <c r="Q101" s="74" t="s">
        <v>356</v>
      </c>
      <c r="R101" s="71" t="s">
        <v>25</v>
      </c>
      <c r="S101" s="70"/>
    </row>
    <row r="102" spans="1:19" ht="29.25" customHeight="1">
      <c r="A102" s="88" t="s">
        <v>19</v>
      </c>
      <c r="B102" s="77" t="s">
        <v>357</v>
      </c>
      <c r="C102" s="89" t="s">
        <v>331</v>
      </c>
      <c r="D102" s="62" t="s">
        <v>358</v>
      </c>
      <c r="E102" s="77" t="s">
        <v>88</v>
      </c>
      <c r="F102" s="64" t="s">
        <v>23</v>
      </c>
      <c r="G102" s="78">
        <v>100</v>
      </c>
      <c r="H102" s="21">
        <f>IF(OR(J102="",K102="",K102&lt;J102),0,NETWORKDAYS(J102,K102,[1]fESTIVOS!$A$2:$A$53))</f>
        <v>1</v>
      </c>
      <c r="I102" s="94">
        <v>45979</v>
      </c>
      <c r="J102" s="95">
        <v>45979</v>
      </c>
      <c r="K102" s="95">
        <v>45979</v>
      </c>
      <c r="L102" s="95">
        <v>45979</v>
      </c>
      <c r="M102" s="25">
        <f ca="1">IF(OR(J102="",AND(L102="",TODAY()&lt;J102),AND(L102&lt;&gt;"",L102&lt;J102)),0,
   IF(L102="",
      NETWORKDAYS(J102,TODAY(),[1]fESTIVOS!$A$2:$A$53),
      NETWORKDAYS(J102,L102,[1]fESTIVOS!$A$2:$A$53)
   )
)</f>
        <v>1</v>
      </c>
      <c r="N102" s="68"/>
      <c r="O102" s="68"/>
      <c r="P102" s="69"/>
      <c r="Q102" s="96" t="s">
        <v>359</v>
      </c>
      <c r="R102" s="79" t="s">
        <v>25</v>
      </c>
      <c r="S102" s="76"/>
    </row>
    <row r="103" spans="1:19" ht="29.25" customHeight="1">
      <c r="A103" s="80" t="s">
        <v>19</v>
      </c>
      <c r="B103" s="63" t="s">
        <v>360</v>
      </c>
      <c r="C103" s="81" t="s">
        <v>328</v>
      </c>
      <c r="D103" s="92" t="s">
        <v>361</v>
      </c>
      <c r="E103" s="63" t="s">
        <v>105</v>
      </c>
      <c r="F103" s="91" t="s">
        <v>23</v>
      </c>
      <c r="G103" s="83">
        <v>100</v>
      </c>
      <c r="H103" s="21">
        <f>IF(OR(J103="",K103="",K103&lt;J103),0,NETWORKDAYS(J103,K103,[1]fESTIVOS!$A$2:$A$53))</f>
        <v>1</v>
      </c>
      <c r="I103" s="87">
        <v>45980</v>
      </c>
      <c r="J103" s="73">
        <v>45980</v>
      </c>
      <c r="K103" s="73">
        <v>45980</v>
      </c>
      <c r="L103" s="73">
        <v>45980</v>
      </c>
      <c r="M103" s="25">
        <f ca="1">IF(OR(J103="",AND(L103="",TODAY()&lt;J103),AND(L103&lt;&gt;"",L103&lt;J103)),0,
   IF(L103="",
      NETWORKDAYS(J103,TODAY(),[1]fESTIVOS!$A$2:$A$53),
      NETWORKDAYS(J103,L103,[1]fESTIVOS!$A$2:$A$53)
   )
)</f>
        <v>1</v>
      </c>
      <c r="N103" s="84"/>
      <c r="O103" s="84"/>
      <c r="P103" s="85"/>
      <c r="Q103" s="74" t="s">
        <v>362</v>
      </c>
      <c r="R103" s="71" t="s">
        <v>25</v>
      </c>
      <c r="S103" s="70"/>
    </row>
    <row r="104" spans="1:19" ht="29.25" customHeight="1">
      <c r="A104" s="80" t="s">
        <v>19</v>
      </c>
      <c r="B104" s="63" t="s">
        <v>363</v>
      </c>
      <c r="C104" s="81" t="s">
        <v>328</v>
      </c>
      <c r="D104" s="92" t="s">
        <v>364</v>
      </c>
      <c r="E104" s="63" t="s">
        <v>105</v>
      </c>
      <c r="F104" s="91" t="s">
        <v>23</v>
      </c>
      <c r="G104" s="83">
        <v>100</v>
      </c>
      <c r="H104" s="21">
        <f>IF(OR(J104="",K104="",K104&lt;J104),0,NETWORKDAYS(J104,K104,[1]fESTIVOS!$A$2:$A$53))</f>
        <v>1</v>
      </c>
      <c r="I104" s="87">
        <v>45981</v>
      </c>
      <c r="J104" s="73">
        <v>45981</v>
      </c>
      <c r="K104" s="73">
        <v>45981</v>
      </c>
      <c r="L104" s="73">
        <v>45981</v>
      </c>
      <c r="M104" s="25">
        <f ca="1">IF(OR(J104="",AND(L104="",TODAY()&lt;J104),AND(L104&lt;&gt;"",L104&lt;J104)),0,
   IF(L104="",
      NETWORKDAYS(J104,TODAY(),[1]fESTIVOS!$A$2:$A$53),
      NETWORKDAYS(J104,L104,[1]fESTIVOS!$A$2:$A$53)
   )
)</f>
        <v>1</v>
      </c>
      <c r="N104" s="84"/>
      <c r="O104" s="84"/>
      <c r="P104" s="85"/>
      <c r="Q104" s="74" t="s">
        <v>365</v>
      </c>
      <c r="R104" s="71" t="s">
        <v>25</v>
      </c>
      <c r="S104" s="70"/>
    </row>
    <row r="105" spans="1:19" ht="29.25" customHeight="1">
      <c r="A105" s="80" t="s">
        <v>19</v>
      </c>
      <c r="B105" s="63" t="s">
        <v>366</v>
      </c>
      <c r="C105" s="81" t="s">
        <v>367</v>
      </c>
      <c r="D105" s="86" t="s">
        <v>368</v>
      </c>
      <c r="E105" s="63" t="s">
        <v>22</v>
      </c>
      <c r="F105" s="82" t="s">
        <v>369</v>
      </c>
      <c r="G105" s="83">
        <v>80</v>
      </c>
      <c r="H105" s="21">
        <f>IF(OR(J105="",K105="",K105&lt;J105),0,NETWORKDAYS(J105,K105,[1]fESTIVOS!$A$2:$A$53))</f>
        <v>48</v>
      </c>
      <c r="I105" s="87">
        <v>45981</v>
      </c>
      <c r="J105" s="73">
        <v>45981</v>
      </c>
      <c r="K105" s="73">
        <v>46053</v>
      </c>
      <c r="L105" s="73"/>
      <c r="M105" s="25">
        <f ca="1">IF(OR(J105="",AND(L105="",TODAY()&lt;J105),AND(L105&lt;&gt;"",L105&lt;J105)),0,
   IF(L105="",
      NETWORKDAYS(J105,TODAY(),[1]fESTIVOS!$A$2:$A$53),
      NETWORKDAYS(J105,L105,[1]fESTIVOS!$A$2:$A$53)
   )
)</f>
        <v>64</v>
      </c>
      <c r="N105" s="84"/>
      <c r="O105" s="84"/>
      <c r="P105" s="85"/>
      <c r="Q105" s="74" t="s">
        <v>370</v>
      </c>
      <c r="R105" s="71" t="s">
        <v>25</v>
      </c>
      <c r="S105" s="70"/>
    </row>
    <row r="106" spans="1:19" ht="29.25" customHeight="1">
      <c r="A106" s="88" t="s">
        <v>19</v>
      </c>
      <c r="B106" s="77" t="s">
        <v>371</v>
      </c>
      <c r="C106" s="89" t="s">
        <v>372</v>
      </c>
      <c r="D106" s="62" t="s">
        <v>373</v>
      </c>
      <c r="E106" s="77" t="s">
        <v>88</v>
      </c>
      <c r="F106" s="64" t="s">
        <v>23</v>
      </c>
      <c r="G106" s="78">
        <v>100</v>
      </c>
      <c r="H106" s="21">
        <f>IF(OR(J106="",K106="",K106&lt;J106),0,NETWORKDAYS(J106,K106,[1]fESTIVOS!$A$2:$A$53))</f>
        <v>1</v>
      </c>
      <c r="I106" s="94">
        <v>45982</v>
      </c>
      <c r="J106" s="95">
        <v>45982</v>
      </c>
      <c r="K106" s="95">
        <v>45982</v>
      </c>
      <c r="L106" s="95">
        <v>45982</v>
      </c>
      <c r="M106" s="25">
        <f ca="1">IF(OR(J106="",AND(L106="",TODAY()&lt;J106),AND(L106&lt;&gt;"",L106&lt;J106)),0,
   IF(L106="",
      NETWORKDAYS(J106,TODAY(),[1]fESTIVOS!$A$2:$A$53),
      NETWORKDAYS(J106,L106,[1]fESTIVOS!$A$2:$A$53)
   )
)</f>
        <v>1</v>
      </c>
      <c r="N106" s="68"/>
      <c r="O106" s="68"/>
      <c r="P106" s="69"/>
      <c r="Q106" s="96" t="s">
        <v>374</v>
      </c>
      <c r="R106" s="79" t="s">
        <v>25</v>
      </c>
      <c r="S106" s="76"/>
    </row>
    <row r="107" spans="1:19" ht="29.25" customHeight="1">
      <c r="A107" s="88" t="s">
        <v>19</v>
      </c>
      <c r="B107" s="77" t="s">
        <v>375</v>
      </c>
      <c r="C107" s="89" t="s">
        <v>331</v>
      </c>
      <c r="D107" s="62" t="s">
        <v>358</v>
      </c>
      <c r="E107" s="77" t="s">
        <v>88</v>
      </c>
      <c r="F107" s="64" t="s">
        <v>23</v>
      </c>
      <c r="G107" s="78">
        <v>100</v>
      </c>
      <c r="H107" s="21">
        <f>IF(OR(J107="",K107="",K107&lt;J107),0,NETWORKDAYS(J107,K107,[1]fESTIVOS!$A$2:$A$53))</f>
        <v>1</v>
      </c>
      <c r="I107" s="94">
        <v>45981</v>
      </c>
      <c r="J107" s="95">
        <v>45981</v>
      </c>
      <c r="K107" s="95">
        <v>45981</v>
      </c>
      <c r="L107" s="95">
        <v>45981</v>
      </c>
      <c r="M107" s="25">
        <f ca="1">IF(OR(J107="",AND(L107="",TODAY()&lt;J107),AND(L107&lt;&gt;"",L107&lt;J107)),0,
   IF(L107="",
      NETWORKDAYS(J107,TODAY(),[1]fESTIVOS!$A$2:$A$53),
      NETWORKDAYS(J107,L107,[1]fESTIVOS!$A$2:$A$53)
   )
)</f>
        <v>1</v>
      </c>
      <c r="N107" s="68"/>
      <c r="O107" s="68"/>
      <c r="P107" s="69"/>
      <c r="Q107" s="96" t="s">
        <v>376</v>
      </c>
      <c r="R107" s="79" t="s">
        <v>25</v>
      </c>
      <c r="S107" s="76"/>
    </row>
    <row r="108" spans="1:19" ht="29.25" customHeight="1">
      <c r="A108" s="88" t="s">
        <v>19</v>
      </c>
      <c r="B108" s="77" t="s">
        <v>377</v>
      </c>
      <c r="C108" s="89" t="s">
        <v>378</v>
      </c>
      <c r="D108" s="62" t="s">
        <v>379</v>
      </c>
      <c r="E108" s="77" t="s">
        <v>88</v>
      </c>
      <c r="F108" s="64" t="s">
        <v>23</v>
      </c>
      <c r="G108" s="78">
        <v>100</v>
      </c>
      <c r="H108" s="21">
        <f>IF(OR(J108="",K108="",K108&lt;J108),0,NETWORKDAYS(J108,K108,[1]fESTIVOS!$A$2:$A$53))</f>
        <v>2</v>
      </c>
      <c r="I108" s="94">
        <v>45986</v>
      </c>
      <c r="J108" s="95">
        <v>45986</v>
      </c>
      <c r="K108" s="95">
        <v>45987</v>
      </c>
      <c r="L108" s="95">
        <v>45986</v>
      </c>
      <c r="M108" s="25">
        <f ca="1">IF(OR(J108="",AND(L108="",TODAY()&lt;J108),AND(L108&lt;&gt;"",L108&lt;J108)),0,
   IF(L108="",
      NETWORKDAYS(J108,TODAY(),[1]fESTIVOS!$A$2:$A$53),
      NETWORKDAYS(J108,L108,[1]fESTIVOS!$A$2:$A$53)
   )
)</f>
        <v>1</v>
      </c>
      <c r="N108" s="68"/>
      <c r="O108" s="68"/>
      <c r="P108" s="69"/>
      <c r="Q108" s="96" t="s">
        <v>380</v>
      </c>
      <c r="R108" s="79" t="s">
        <v>25</v>
      </c>
      <c r="S108" s="76"/>
    </row>
    <row r="109" spans="1:19" ht="29.25" customHeight="1">
      <c r="A109" s="88" t="s">
        <v>19</v>
      </c>
      <c r="B109" s="63" t="s">
        <v>381</v>
      </c>
      <c r="C109" s="61" t="s">
        <v>382</v>
      </c>
      <c r="D109" s="72" t="s">
        <v>383</v>
      </c>
      <c r="E109" s="63" t="s">
        <v>22</v>
      </c>
      <c r="F109" s="64" t="s">
        <v>23</v>
      </c>
      <c r="G109" s="78">
        <v>100</v>
      </c>
      <c r="H109" s="21">
        <f>IF(OR(J109="",K109="",K109&lt;J109),0,NETWORKDAYS(J109,K109,[1]fESTIVOS!$A$2:$A$53))</f>
        <v>2</v>
      </c>
      <c r="I109" s="94">
        <v>45987</v>
      </c>
      <c r="J109" s="95">
        <v>45987</v>
      </c>
      <c r="K109" s="95">
        <v>45988</v>
      </c>
      <c r="L109" s="95">
        <v>45995</v>
      </c>
      <c r="M109" s="25">
        <f ca="1">IF(OR(J109="",AND(L109="",TODAY()&lt;J109),AND(L109&lt;&gt;"",L109&lt;J109)),0,
   IF(L109="",
      NETWORKDAYS(J109,TODAY(),[1]fESTIVOS!$A$2:$A$53),
      NETWORKDAYS(J109,L109,[1]fESTIVOS!$A$2:$A$53)
   )
)</f>
        <v>7</v>
      </c>
      <c r="N109" s="68"/>
      <c r="O109" s="68"/>
      <c r="P109" s="69"/>
      <c r="Q109" s="96" t="s">
        <v>384</v>
      </c>
      <c r="R109" s="79" t="s">
        <v>25</v>
      </c>
      <c r="S109" s="76"/>
    </row>
    <row r="110" spans="1:19" ht="29.25" customHeight="1">
      <c r="A110" s="88" t="s">
        <v>19</v>
      </c>
      <c r="B110" s="77" t="s">
        <v>385</v>
      </c>
      <c r="C110" s="89" t="s">
        <v>386</v>
      </c>
      <c r="D110" s="62" t="s">
        <v>387</v>
      </c>
      <c r="E110" s="77" t="s">
        <v>88</v>
      </c>
      <c r="F110" s="64" t="s">
        <v>23</v>
      </c>
      <c r="G110" s="78">
        <v>100</v>
      </c>
      <c r="H110" s="21">
        <f>IF(OR(J110="",K110="",K110&lt;J110),0,NETWORKDAYS(J110,K110,[1]fESTIVOS!$A$2:$A$53))</f>
        <v>31</v>
      </c>
      <c r="I110" s="94">
        <v>45989</v>
      </c>
      <c r="J110" s="95">
        <v>45989</v>
      </c>
      <c r="K110" s="95">
        <v>46037</v>
      </c>
      <c r="L110" s="95">
        <v>46037</v>
      </c>
      <c r="M110" s="25">
        <f ca="1">IF(OR(J110="",AND(L110="",TODAY()&lt;J110),AND(L110&lt;&gt;"",L110&lt;J110)),0,
   IF(L110="",
      NETWORKDAYS(J110,TODAY(),[1]fESTIVOS!$A$2:$A$53),
      NETWORKDAYS(J110,L110,[1]fESTIVOS!$A$2:$A$53)
   )
)</f>
        <v>31</v>
      </c>
      <c r="N110" s="68"/>
      <c r="O110" s="68"/>
      <c r="P110" s="69"/>
      <c r="Q110" s="96" t="s">
        <v>388</v>
      </c>
      <c r="R110" s="79" t="s">
        <v>25</v>
      </c>
      <c r="S110" s="76"/>
    </row>
    <row r="111" spans="1:19" ht="29.25" customHeight="1">
      <c r="A111" s="80" t="s">
        <v>19</v>
      </c>
      <c r="B111" s="63" t="s">
        <v>389</v>
      </c>
      <c r="C111" s="81" t="s">
        <v>390</v>
      </c>
      <c r="D111" s="92" t="s">
        <v>391</v>
      </c>
      <c r="E111" s="63" t="s">
        <v>105</v>
      </c>
      <c r="F111" s="91" t="s">
        <v>23</v>
      </c>
      <c r="G111" s="83">
        <v>100</v>
      </c>
      <c r="H111" s="21">
        <f>IF(OR(J111="",K111="",K111&lt;J111),0,NETWORKDAYS(J111,K111,[1]fESTIVOS!$A$2:$A$53))</f>
        <v>5</v>
      </c>
      <c r="I111" s="87">
        <v>45992</v>
      </c>
      <c r="J111" s="73">
        <v>45992</v>
      </c>
      <c r="K111" s="73">
        <v>45996</v>
      </c>
      <c r="L111" s="73">
        <v>45994</v>
      </c>
      <c r="M111" s="25">
        <f ca="1">IF(OR(J111="",AND(L111="",TODAY()&lt;J111),AND(L111&lt;&gt;"",L111&lt;J111)),0,
   IF(L111="",
      NETWORKDAYS(J111,TODAY(),[1]fESTIVOS!$A$2:$A$53),
      NETWORKDAYS(J111,L111,[1]fESTIVOS!$A$2:$A$53)
   )
)</f>
        <v>3</v>
      </c>
      <c r="N111" s="84"/>
      <c r="O111" s="84"/>
      <c r="P111" s="85"/>
      <c r="Q111" s="74" t="s">
        <v>392</v>
      </c>
      <c r="R111" s="71" t="s">
        <v>25</v>
      </c>
      <c r="S111" s="70"/>
    </row>
    <row r="112" spans="1:19" ht="29.25" customHeight="1">
      <c r="A112" s="88" t="s">
        <v>19</v>
      </c>
      <c r="B112" s="77" t="s">
        <v>393</v>
      </c>
      <c r="C112" s="89" t="s">
        <v>394</v>
      </c>
      <c r="D112" s="62" t="s">
        <v>387</v>
      </c>
      <c r="E112" s="77" t="s">
        <v>88</v>
      </c>
      <c r="F112" s="64" t="s">
        <v>23</v>
      </c>
      <c r="G112" s="78">
        <v>100</v>
      </c>
      <c r="H112" s="21">
        <f>IF(OR(J112="",K112="",K112&lt;J112),0,NETWORKDAYS(J112,K112,[1]fESTIVOS!$A$2:$A$53))</f>
        <v>1</v>
      </c>
      <c r="I112" s="94">
        <v>45994</v>
      </c>
      <c r="J112" s="95">
        <v>45994</v>
      </c>
      <c r="K112" s="95">
        <v>45994</v>
      </c>
      <c r="L112" s="95">
        <v>45994</v>
      </c>
      <c r="M112" s="25">
        <f ca="1">IF(OR(J112="",AND(L112="",TODAY()&lt;J112),AND(L112&lt;&gt;"",L112&lt;J112)),0,
   IF(L112="",
      NETWORKDAYS(J112,TODAY(),[1]fESTIVOS!$A$2:$A$53),
      NETWORKDAYS(J112,L112,[1]fESTIVOS!$A$2:$A$53)
   )
)</f>
        <v>1</v>
      </c>
      <c r="N112" s="68"/>
      <c r="O112" s="68"/>
      <c r="P112" s="69"/>
      <c r="Q112" s="96" t="s">
        <v>395</v>
      </c>
      <c r="R112" s="79" t="s">
        <v>25</v>
      </c>
      <c r="S112" s="76"/>
    </row>
    <row r="113" spans="1:19" ht="29.25" customHeight="1">
      <c r="A113" s="88" t="s">
        <v>19</v>
      </c>
      <c r="B113" s="63" t="s">
        <v>396</v>
      </c>
      <c r="C113" s="61" t="s">
        <v>397</v>
      </c>
      <c r="D113" s="72" t="s">
        <v>398</v>
      </c>
      <c r="E113" s="63" t="s">
        <v>22</v>
      </c>
      <c r="F113" s="64" t="s">
        <v>23</v>
      </c>
      <c r="G113" s="78">
        <v>100</v>
      </c>
      <c r="H113" s="21">
        <f>IF(OR(J113="",K113="",K113&lt;J113),0,NETWORKDAYS(J113,K113,[1]fESTIVOS!$A$2:$A$53))</f>
        <v>1</v>
      </c>
      <c r="I113" s="94">
        <v>45994</v>
      </c>
      <c r="J113" s="95">
        <v>45994</v>
      </c>
      <c r="K113" s="95">
        <v>45994</v>
      </c>
      <c r="L113" s="95">
        <v>45994</v>
      </c>
      <c r="M113" s="25">
        <f ca="1">IF(OR(J113="",AND(L113="",TODAY()&lt;J113),AND(L113&lt;&gt;"",L113&lt;J113)),0,
   IF(L113="",
      NETWORKDAYS(J113,TODAY(),[1]fESTIVOS!$A$2:$A$53),
      NETWORKDAYS(J113,L113,[1]fESTIVOS!$A$2:$A$53)
   )
)</f>
        <v>1</v>
      </c>
      <c r="N113" s="68"/>
      <c r="O113" s="68"/>
      <c r="P113" s="69"/>
      <c r="Q113" s="96" t="s">
        <v>399</v>
      </c>
      <c r="R113" s="79" t="s">
        <v>25</v>
      </c>
      <c r="S113" s="76"/>
    </row>
    <row r="114" spans="1:19" ht="29.25" customHeight="1">
      <c r="A114" s="80" t="s">
        <v>19</v>
      </c>
      <c r="B114" s="63" t="s">
        <v>400</v>
      </c>
      <c r="C114" s="81" t="s">
        <v>401</v>
      </c>
      <c r="D114" s="92" t="s">
        <v>402</v>
      </c>
      <c r="E114" s="63" t="s">
        <v>105</v>
      </c>
      <c r="F114" s="91" t="s">
        <v>23</v>
      </c>
      <c r="G114" s="83">
        <v>100</v>
      </c>
      <c r="H114" s="21">
        <f>IF(OR(J114="",K114="",K114&lt;J114),0,NETWORKDAYS(J114,K114,[1]fESTIVOS!$A$2:$A$53))</f>
        <v>2</v>
      </c>
      <c r="I114" s="87">
        <v>45995</v>
      </c>
      <c r="J114" s="73">
        <v>45995</v>
      </c>
      <c r="K114" s="73">
        <v>45996</v>
      </c>
      <c r="L114" s="73">
        <v>45996</v>
      </c>
      <c r="M114" s="25">
        <f ca="1">IF(OR(J114="",AND(L114="",TODAY()&lt;J114),AND(L114&lt;&gt;"",L114&lt;J114)),0,
   IF(L114="",
      NETWORKDAYS(J114,TODAY(),[1]fESTIVOS!$A$2:$A$53),
      NETWORKDAYS(J114,L114,[1]fESTIVOS!$A$2:$A$53)
   )
)</f>
        <v>2</v>
      </c>
      <c r="N114" s="84"/>
      <c r="O114" s="84"/>
      <c r="P114" s="85"/>
      <c r="Q114" s="74" t="s">
        <v>403</v>
      </c>
      <c r="R114" s="71" t="s">
        <v>25</v>
      </c>
      <c r="S114" s="70"/>
    </row>
    <row r="115" spans="1:19" ht="29.25" customHeight="1">
      <c r="A115" s="88" t="s">
        <v>19</v>
      </c>
      <c r="B115" s="63" t="s">
        <v>404</v>
      </c>
      <c r="C115" s="61" t="s">
        <v>405</v>
      </c>
      <c r="D115" s="72" t="s">
        <v>406</v>
      </c>
      <c r="E115" s="63" t="s">
        <v>22</v>
      </c>
      <c r="F115" s="64" t="s">
        <v>23</v>
      </c>
      <c r="G115" s="78">
        <v>100</v>
      </c>
      <c r="H115" s="21">
        <f>IF(OR(J115="",K115="",K115&lt;J115),0,NETWORKDAYS(J115,K115,[1]fESTIVOS!$A$2:$A$53))</f>
        <v>1</v>
      </c>
      <c r="I115" s="94">
        <v>45996</v>
      </c>
      <c r="J115" s="95">
        <v>45996</v>
      </c>
      <c r="K115" s="95">
        <v>45996</v>
      </c>
      <c r="L115" s="95">
        <v>45996</v>
      </c>
      <c r="M115" s="25">
        <f ca="1">IF(OR(J115="",AND(L115="",TODAY()&lt;J115),AND(L115&lt;&gt;"",L115&lt;J115)),0,
   IF(L115="",
      NETWORKDAYS(J115,TODAY(),[1]fESTIVOS!$A$2:$A$53),
      NETWORKDAYS(J115,L115,[1]fESTIVOS!$A$2:$A$53)
   )
)</f>
        <v>1</v>
      </c>
      <c r="N115" s="68"/>
      <c r="O115" s="68"/>
      <c r="P115" s="69"/>
      <c r="Q115" s="96" t="s">
        <v>407</v>
      </c>
      <c r="R115" s="79" t="s">
        <v>25</v>
      </c>
      <c r="S115" s="76"/>
    </row>
    <row r="116" spans="1:19" ht="29.25" customHeight="1">
      <c r="A116" s="80" t="s">
        <v>19</v>
      </c>
      <c r="B116" s="63" t="s">
        <v>408</v>
      </c>
      <c r="C116" s="81" t="s">
        <v>409</v>
      </c>
      <c r="D116" s="92" t="s">
        <v>410</v>
      </c>
      <c r="E116" s="63" t="s">
        <v>105</v>
      </c>
      <c r="F116" s="91" t="s">
        <v>23</v>
      </c>
      <c r="G116" s="83">
        <v>100</v>
      </c>
      <c r="H116" s="21">
        <f>IF(OR(J116="",K116="",K116&lt;J116),0,NETWORKDAYS(J116,K116,[1]fESTIVOS!$A$2:$A$53))</f>
        <v>0</v>
      </c>
      <c r="I116" s="87">
        <v>46001</v>
      </c>
      <c r="J116" s="73">
        <v>46001</v>
      </c>
      <c r="K116" s="73"/>
      <c r="L116" s="73">
        <v>46058</v>
      </c>
      <c r="M116" s="25">
        <f ca="1">IF(OR(J116="",AND(L116="",TODAY()&lt;J116),AND(L116&lt;&gt;"",L116&lt;J116)),0,
   IF(L116="",
      NETWORKDAYS(J116,TODAY(),[1]fESTIVOS!$A$2:$A$53),
      NETWORKDAYS(J116,L116,[1]fESTIVOS!$A$2:$A$53)
   )
)</f>
        <v>39</v>
      </c>
      <c r="N116" s="84"/>
      <c r="O116" s="84"/>
      <c r="P116" s="85"/>
      <c r="Q116" s="74" t="s">
        <v>411</v>
      </c>
      <c r="R116" s="71" t="s">
        <v>25</v>
      </c>
      <c r="S116" s="70"/>
    </row>
    <row r="117" spans="1:19" ht="29.25" customHeight="1">
      <c r="A117" s="88" t="s">
        <v>19</v>
      </c>
      <c r="B117" s="63" t="s">
        <v>412</v>
      </c>
      <c r="C117" s="61" t="s">
        <v>382</v>
      </c>
      <c r="D117" s="72" t="s">
        <v>413</v>
      </c>
      <c r="E117" s="63" t="s">
        <v>22</v>
      </c>
      <c r="F117" s="64" t="s">
        <v>23</v>
      </c>
      <c r="G117" s="78">
        <v>100</v>
      </c>
      <c r="H117" s="21">
        <f>IF(OR(J117="",K117="",K117&lt;J117),0,NETWORKDAYS(J117,K117,[1]fESTIVOS!$A$2:$A$53))</f>
        <v>26</v>
      </c>
      <c r="I117" s="87">
        <v>46001</v>
      </c>
      <c r="J117" s="73">
        <v>46001</v>
      </c>
      <c r="K117" s="95">
        <v>46041</v>
      </c>
      <c r="L117" s="95">
        <v>46045</v>
      </c>
      <c r="M117" s="25">
        <f ca="1">IF(OR(J117="",AND(L117="",TODAY()&lt;J117),AND(L117&lt;&gt;"",L117&lt;J117)),0,
   IF(L117="",
      NETWORKDAYS(J117,TODAY(),[1]fESTIVOS!$A$2:$A$53),
      NETWORKDAYS(J117,L117,[1]fESTIVOS!$A$2:$A$53)
   )
)</f>
        <v>30</v>
      </c>
      <c r="N117" s="68"/>
      <c r="O117" s="68"/>
      <c r="P117" s="69"/>
      <c r="Q117" s="96" t="s">
        <v>414</v>
      </c>
      <c r="R117" s="79" t="s">
        <v>25</v>
      </c>
      <c r="S117" s="76"/>
    </row>
    <row r="118" spans="1:19" ht="29.25" customHeight="1">
      <c r="A118" s="88" t="s">
        <v>19</v>
      </c>
      <c r="B118" s="63" t="s">
        <v>415</v>
      </c>
      <c r="C118" s="61" t="s">
        <v>416</v>
      </c>
      <c r="D118" s="72" t="s">
        <v>417</v>
      </c>
      <c r="E118" s="63" t="s">
        <v>22</v>
      </c>
      <c r="F118" s="64" t="s">
        <v>23</v>
      </c>
      <c r="G118" s="78">
        <v>100</v>
      </c>
      <c r="H118" s="21">
        <f>IF(OR(J118="",K118="",K118&lt;J118),0,NETWORKDAYS(J118,K118,[1]fESTIVOS!$A$2:$A$53))</f>
        <v>26</v>
      </c>
      <c r="I118" s="87">
        <v>46003</v>
      </c>
      <c r="J118" s="73">
        <v>46003</v>
      </c>
      <c r="K118" s="95">
        <v>46043</v>
      </c>
      <c r="L118" s="95">
        <v>46043</v>
      </c>
      <c r="M118" s="25">
        <f ca="1">IF(OR(J118="",AND(L118="",TODAY()&lt;J118),AND(L118&lt;&gt;"",L118&lt;J118)),0,
   IF(L118="",
      NETWORKDAYS(J118,TODAY(),[1]fESTIVOS!$A$2:$A$53),
      NETWORKDAYS(J118,L118,[1]fESTIVOS!$A$2:$A$53)
   )
)</f>
        <v>26</v>
      </c>
      <c r="N118" s="68"/>
      <c r="O118" s="68"/>
      <c r="P118" s="69"/>
      <c r="Q118" s="96" t="s">
        <v>418</v>
      </c>
      <c r="R118" s="79" t="s">
        <v>25</v>
      </c>
      <c r="S118" s="76"/>
    </row>
    <row r="119" spans="1:19" ht="29.25" customHeight="1">
      <c r="A119" s="80" t="s">
        <v>19</v>
      </c>
      <c r="B119" s="63" t="s">
        <v>419</v>
      </c>
      <c r="C119" s="61" t="s">
        <v>420</v>
      </c>
      <c r="D119" s="72" t="s">
        <v>421</v>
      </c>
      <c r="E119" s="63" t="s">
        <v>22</v>
      </c>
      <c r="F119" s="91" t="s">
        <v>23</v>
      </c>
      <c r="G119" s="83">
        <v>100</v>
      </c>
      <c r="H119" s="21">
        <f>IF(OR(J119="",K119="",K119&lt;J119),0,NETWORKDAYS(J119,K119,[1]fESTIVOS!$A$2:$A$53))</f>
        <v>22</v>
      </c>
      <c r="I119" s="87">
        <v>46009</v>
      </c>
      <c r="J119" s="73">
        <v>46009</v>
      </c>
      <c r="K119" s="73">
        <v>46043</v>
      </c>
      <c r="L119" s="73">
        <v>46043</v>
      </c>
      <c r="M119" s="25">
        <f ca="1">IF(OR(J119="",AND(L119="",TODAY()&lt;J119),AND(L119&lt;&gt;"",L119&lt;J119)),0,
   IF(L119="",
      NETWORKDAYS(J119,TODAY(),[1]fESTIVOS!$A$2:$A$53),
      NETWORKDAYS(J119,L119,[1]fESTIVOS!$A$2:$A$53)
   )
)</f>
        <v>22</v>
      </c>
      <c r="N119" s="84"/>
      <c r="O119" s="84"/>
      <c r="P119" s="85"/>
      <c r="Q119" s="74" t="s">
        <v>422</v>
      </c>
      <c r="R119" s="71" t="s">
        <v>25</v>
      </c>
      <c r="S119" s="70"/>
    </row>
    <row r="120" spans="1:19" ht="29.25" customHeight="1">
      <c r="A120" s="80" t="s">
        <v>19</v>
      </c>
      <c r="B120" s="63" t="s">
        <v>423</v>
      </c>
      <c r="C120" s="61" t="s">
        <v>424</v>
      </c>
      <c r="D120" s="72" t="s">
        <v>425</v>
      </c>
      <c r="E120" s="63" t="s">
        <v>22</v>
      </c>
      <c r="F120" s="91" t="s">
        <v>23</v>
      </c>
      <c r="G120" s="83">
        <v>100</v>
      </c>
      <c r="H120" s="21">
        <f>IF(OR(J120="",K120="",K120&lt;J120),0,NETWORKDAYS(J120,K120,[1]fESTIVOS!$A$2:$A$53))</f>
        <v>9</v>
      </c>
      <c r="I120" s="87">
        <v>46035</v>
      </c>
      <c r="J120" s="73">
        <v>46035</v>
      </c>
      <c r="K120" s="73">
        <v>46045</v>
      </c>
      <c r="L120" s="73">
        <v>46044</v>
      </c>
      <c r="M120" s="25">
        <f ca="1">IF(OR(J120="",AND(L120="",TODAY()&lt;J120),AND(L120&lt;&gt;"",L120&lt;J120)),0,
   IF(L120="",
      NETWORKDAYS(J120,TODAY(),[1]fESTIVOS!$A$2:$A$53),
      NETWORKDAYS(J120,L120,[1]fESTIVOS!$A$2:$A$53)
   )
)</f>
        <v>8</v>
      </c>
      <c r="N120" s="84"/>
      <c r="O120" s="84"/>
      <c r="P120" s="85"/>
      <c r="Q120" s="74" t="s">
        <v>426</v>
      </c>
      <c r="R120" s="71" t="s">
        <v>25</v>
      </c>
      <c r="S120" s="70"/>
    </row>
    <row r="121" spans="1:19" ht="29.25" customHeight="1">
      <c r="A121" s="88" t="s">
        <v>19</v>
      </c>
      <c r="B121" s="77" t="s">
        <v>427</v>
      </c>
      <c r="C121" s="89" t="s">
        <v>428</v>
      </c>
      <c r="D121" s="93" t="s">
        <v>429</v>
      </c>
      <c r="E121" s="77" t="s">
        <v>88</v>
      </c>
      <c r="F121" s="90" t="s">
        <v>23</v>
      </c>
      <c r="G121" s="78">
        <v>100</v>
      </c>
      <c r="H121" s="21">
        <f>IF(OR(J121="",K121="",K121&lt;J121),0,NETWORKDAYS(J121,K121,[1]fESTIVOS!$A$2:$A$53))</f>
        <v>1</v>
      </c>
      <c r="I121" s="94">
        <v>46041</v>
      </c>
      <c r="J121" s="95">
        <v>46041</v>
      </c>
      <c r="K121" s="95">
        <v>46041</v>
      </c>
      <c r="L121" s="95">
        <v>46041</v>
      </c>
      <c r="M121" s="25">
        <f ca="1">IF(OR(J121="",AND(L121="",TODAY()&lt;J121),AND(L121&lt;&gt;"",L121&lt;J121)),0,
   IF(L121="",
      NETWORKDAYS(J121,TODAY(),[1]fESTIVOS!$A$2:$A$53),
      NETWORKDAYS(J121,L121,[1]fESTIVOS!$A$2:$A$53)
   )
)</f>
        <v>1</v>
      </c>
      <c r="N121" s="68"/>
      <c r="O121" s="68"/>
      <c r="P121" s="69"/>
      <c r="Q121" s="96" t="s">
        <v>430</v>
      </c>
      <c r="R121" s="79" t="s">
        <v>25</v>
      </c>
      <c r="S121" s="76"/>
    </row>
    <row r="122" spans="1:19" ht="29.25" customHeight="1">
      <c r="A122" s="88" t="s">
        <v>19</v>
      </c>
      <c r="B122" s="63" t="s">
        <v>431</v>
      </c>
      <c r="C122" s="89" t="s">
        <v>432</v>
      </c>
      <c r="D122" s="93" t="s">
        <v>433</v>
      </c>
      <c r="E122" s="77" t="s">
        <v>22</v>
      </c>
      <c r="F122" s="90" t="s">
        <v>369</v>
      </c>
      <c r="G122" s="78">
        <v>80</v>
      </c>
      <c r="H122" s="21">
        <f>IF(OR(J122="",K122="",K122&lt;J122),0,NETWORKDAYS(J122,K122,[1]fESTIVOS!$A$2:$A$53))</f>
        <v>0</v>
      </c>
      <c r="I122" s="94">
        <v>46044</v>
      </c>
      <c r="J122" s="95">
        <v>46044</v>
      </c>
      <c r="K122" s="95"/>
      <c r="L122" s="95"/>
      <c r="M122" s="25">
        <f ca="1">IF(OR(J122="",AND(L122="",TODAY()&lt;J122),AND(L122&lt;&gt;"",L122&lt;J122)),0,
   IF(L122="",
      NETWORKDAYS(J122,TODAY(),[1]fESTIVOS!$A$2:$A$53),
      NETWORKDAYS(J122,L122,[1]fESTIVOS!$A$2:$A$53)
   )
)</f>
        <v>23</v>
      </c>
      <c r="N122" s="68"/>
      <c r="O122" s="68"/>
      <c r="P122" s="69"/>
      <c r="Q122" s="96" t="s">
        <v>434</v>
      </c>
      <c r="R122" s="79" t="s">
        <v>25</v>
      </c>
      <c r="S122" s="76"/>
    </row>
    <row r="123" spans="1:19" ht="29.25" customHeight="1">
      <c r="A123" s="88" t="s">
        <v>19</v>
      </c>
      <c r="B123" s="77" t="s">
        <v>435</v>
      </c>
      <c r="C123" s="89" t="s">
        <v>436</v>
      </c>
      <c r="D123" s="93" t="s">
        <v>437</v>
      </c>
      <c r="E123" s="77" t="s">
        <v>88</v>
      </c>
      <c r="F123" s="90" t="s">
        <v>23</v>
      </c>
      <c r="G123" s="78">
        <v>100</v>
      </c>
      <c r="H123" s="21">
        <f>IF(OR(J123="",K123="",K123&lt;J123),0,NETWORKDAYS(J123,K123,[1]fESTIVOS!$A$2:$A$53))</f>
        <v>1</v>
      </c>
      <c r="I123" s="94">
        <v>46055</v>
      </c>
      <c r="J123" s="95">
        <v>46055</v>
      </c>
      <c r="K123" s="95">
        <v>46055</v>
      </c>
      <c r="L123" s="95">
        <v>46055</v>
      </c>
      <c r="M123" s="25">
        <f ca="1">IF(OR(J123="",AND(L123="",TODAY()&lt;J123),AND(L123&lt;&gt;"",L123&lt;J123)),0,
   IF(L123="",
      NETWORKDAYS(J123,TODAY(),[1]fESTIVOS!$A$2:$A$53),
      NETWORKDAYS(J123,L123,[1]fESTIVOS!$A$2:$A$53)
   )
)</f>
        <v>1</v>
      </c>
      <c r="N123" s="68"/>
      <c r="O123" s="68"/>
      <c r="P123" s="69"/>
      <c r="Q123" s="96" t="s">
        <v>438</v>
      </c>
      <c r="R123" s="79" t="s">
        <v>25</v>
      </c>
      <c r="S123" s="76"/>
    </row>
    <row r="124" spans="1:19" ht="29.25" customHeight="1">
      <c r="A124" s="80" t="s">
        <v>19</v>
      </c>
      <c r="B124" s="63" t="s">
        <v>439</v>
      </c>
      <c r="C124" s="81" t="s">
        <v>390</v>
      </c>
      <c r="D124" s="92" t="s">
        <v>440</v>
      </c>
      <c r="E124" s="63" t="s">
        <v>105</v>
      </c>
      <c r="F124" s="91" t="s">
        <v>23</v>
      </c>
      <c r="G124" s="83">
        <v>100</v>
      </c>
      <c r="H124" s="21">
        <f>IF(OR(J124="",K124="",K124&lt;J124),0,NETWORKDAYS(J124,K124,[1]fESTIVOS!$A$2:$A$53))</f>
        <v>4</v>
      </c>
      <c r="I124" s="87">
        <v>46055</v>
      </c>
      <c r="J124" s="73">
        <v>46055</v>
      </c>
      <c r="K124" s="73">
        <v>46058</v>
      </c>
      <c r="L124" s="73">
        <v>46056</v>
      </c>
      <c r="M124" s="25">
        <f ca="1">IF(OR(J124="",AND(L124="",TODAY()&lt;J124),AND(L124&lt;&gt;"",L124&lt;J124)),0,
   IF(L124="",
      NETWORKDAYS(J124,TODAY(),[1]fESTIVOS!$A$2:$A$53),
      NETWORKDAYS(J124,L124,[1]fESTIVOS!$A$2:$A$53)
   )
)</f>
        <v>2</v>
      </c>
      <c r="N124" s="84"/>
      <c r="O124" s="84"/>
      <c r="P124" s="85"/>
      <c r="Q124" s="74" t="s">
        <v>441</v>
      </c>
      <c r="R124" s="71" t="s">
        <v>25</v>
      </c>
      <c r="S124" s="70"/>
    </row>
    <row r="125" spans="1:19" ht="29.25" customHeight="1">
      <c r="A125" s="88" t="s">
        <v>19</v>
      </c>
      <c r="B125" s="63" t="s">
        <v>442</v>
      </c>
      <c r="C125" s="89" t="s">
        <v>443</v>
      </c>
      <c r="D125" s="93" t="s">
        <v>444</v>
      </c>
      <c r="E125" s="77" t="s">
        <v>22</v>
      </c>
      <c r="F125" s="90" t="s">
        <v>369</v>
      </c>
      <c r="G125" s="78">
        <v>60</v>
      </c>
      <c r="H125" s="21">
        <f>IF(OR(J125="",K125="",K125&lt;J125),0,NETWORKDAYS(J125,K125,[1]fESTIVOS!$A$2:$A$53))</f>
        <v>0</v>
      </c>
      <c r="I125" s="94">
        <v>46062</v>
      </c>
      <c r="J125" s="95">
        <v>46062</v>
      </c>
      <c r="K125" s="95"/>
      <c r="L125" s="95"/>
      <c r="M125" s="25">
        <f ca="1">IF(OR(J125="",AND(L125="",TODAY()&lt;J125),AND(L125&lt;&gt;"",L125&lt;J125)),0,
   IF(L125="",
      NETWORKDAYS(J125,TODAY(),[1]fESTIVOS!$A$2:$A$53),
      NETWORKDAYS(J125,L125,[1]fESTIVOS!$A$2:$A$53)
   )
)</f>
        <v>11</v>
      </c>
      <c r="N125" s="68"/>
      <c r="O125" s="68"/>
      <c r="P125" s="69"/>
      <c r="Q125" s="96" t="s">
        <v>445</v>
      </c>
      <c r="R125" s="79" t="s">
        <v>25</v>
      </c>
      <c r="S125" s="76"/>
    </row>
    <row r="126" spans="1:19" ht="29.25" customHeight="1">
      <c r="A126" s="88" t="s">
        <v>19</v>
      </c>
      <c r="B126" s="77" t="s">
        <v>446</v>
      </c>
      <c r="C126" s="89" t="s">
        <v>436</v>
      </c>
      <c r="D126" s="93" t="s">
        <v>437</v>
      </c>
      <c r="E126" s="77" t="s">
        <v>88</v>
      </c>
      <c r="F126" s="90" t="s">
        <v>23</v>
      </c>
      <c r="G126" s="78">
        <v>100</v>
      </c>
      <c r="H126" s="21">
        <f>IF(OR(J126="",K126="",K126&lt;J126),0,NETWORKDAYS(J126,K126,[1]fESTIVOS!$A$2:$A$53))</f>
        <v>1</v>
      </c>
      <c r="I126" s="94">
        <v>46063</v>
      </c>
      <c r="J126" s="95">
        <v>46063</v>
      </c>
      <c r="K126" s="95">
        <v>46063</v>
      </c>
      <c r="L126" s="95">
        <v>46063</v>
      </c>
      <c r="M126" s="25">
        <f ca="1">IF(OR(J126="",AND(L126="",TODAY()&lt;J126),AND(L126&lt;&gt;"",L126&lt;J126)),0,
   IF(L126="",
      NETWORKDAYS(J126,TODAY(),[1]fESTIVOS!$A$2:$A$53),
      NETWORKDAYS(J126,L126,[1]fESTIVOS!$A$2:$A$53)
   )
)</f>
        <v>1</v>
      </c>
      <c r="N126" s="68"/>
      <c r="O126" s="68"/>
      <c r="P126" s="69"/>
      <c r="Q126" s="96" t="s">
        <v>447</v>
      </c>
      <c r="R126" s="79" t="s">
        <v>25</v>
      </c>
      <c r="S126" s="76"/>
    </row>
    <row r="127" spans="1:19" ht="29.25" customHeight="1">
      <c r="A127" s="88" t="s">
        <v>19</v>
      </c>
      <c r="B127" s="63" t="s">
        <v>448</v>
      </c>
      <c r="C127" s="89" t="s">
        <v>424</v>
      </c>
      <c r="D127" s="93" t="s">
        <v>344</v>
      </c>
      <c r="E127" s="77" t="s">
        <v>22</v>
      </c>
      <c r="F127" s="90" t="s">
        <v>23</v>
      </c>
      <c r="G127" s="78">
        <v>100</v>
      </c>
      <c r="H127" s="21">
        <f>IF(OR(J127="",K127="",K127&lt;J127),0,NETWORKDAYS(J127,K127,[1]fESTIVOS!$A$2:$A$53))</f>
        <v>1</v>
      </c>
      <c r="I127" s="94">
        <v>46064</v>
      </c>
      <c r="J127" s="95">
        <v>46064</v>
      </c>
      <c r="K127" s="95">
        <v>46064</v>
      </c>
      <c r="L127" s="95">
        <v>46064</v>
      </c>
      <c r="M127" s="25">
        <f ca="1">IF(OR(J127="",AND(L127="",TODAY()&lt;J127),AND(L127&lt;&gt;"",L127&lt;J127)),0,
   IF(L127="",
      NETWORKDAYS(J127,TODAY(),[1]fESTIVOS!$A$2:$A$53),
      NETWORKDAYS(J127,L127,[1]fESTIVOS!$A$2:$A$53)
   )
)</f>
        <v>1</v>
      </c>
      <c r="N127" s="68"/>
      <c r="O127" s="68"/>
      <c r="P127" s="69"/>
      <c r="Q127" s="96" t="s">
        <v>449</v>
      </c>
      <c r="R127" s="79" t="s">
        <v>25</v>
      </c>
      <c r="S127" s="76"/>
    </row>
    <row r="128" spans="1:19" ht="29.25" customHeight="1">
      <c r="A128" s="80" t="s">
        <v>19</v>
      </c>
      <c r="B128" s="63" t="s">
        <v>450</v>
      </c>
      <c r="C128" s="81" t="s">
        <v>451</v>
      </c>
      <c r="D128" s="92" t="s">
        <v>452</v>
      </c>
      <c r="E128" s="63" t="s">
        <v>105</v>
      </c>
      <c r="F128" s="91" t="s">
        <v>369</v>
      </c>
      <c r="G128" s="83">
        <v>50</v>
      </c>
      <c r="H128" s="21">
        <f>IF(OR(J128="",K128="",K128&lt;J128),0,NETWORKDAYS(J128,K128,[1]fESTIVOS!$A$2:$A$53))</f>
        <v>0</v>
      </c>
      <c r="I128" s="87">
        <v>46064</v>
      </c>
      <c r="J128" s="73">
        <v>46064</v>
      </c>
      <c r="K128" s="73"/>
      <c r="L128" s="73"/>
      <c r="M128" s="25">
        <f ca="1">IF(OR(J128="",AND(L128="",TODAY()&lt;J128),AND(L128&lt;&gt;"",L128&lt;J128)),0,
   IF(L128="",
      NETWORKDAYS(J128,TODAY(),[1]fESTIVOS!$A$2:$A$53),
      NETWORKDAYS(J128,L128,[1]fESTIVOS!$A$2:$A$53)
   )
)</f>
        <v>9</v>
      </c>
      <c r="N128" s="84"/>
      <c r="O128" s="84"/>
      <c r="P128" s="85"/>
      <c r="Q128" s="97" t="s">
        <v>453</v>
      </c>
      <c r="R128" s="71" t="s">
        <v>25</v>
      </c>
      <c r="S128" s="70"/>
    </row>
    <row r="129" spans="1:19" ht="29.25" customHeight="1">
      <c r="A129" s="80" t="s">
        <v>19</v>
      </c>
      <c r="B129" s="63" t="s">
        <v>454</v>
      </c>
      <c r="C129" s="81" t="s">
        <v>455</v>
      </c>
      <c r="D129" s="92" t="s">
        <v>456</v>
      </c>
      <c r="E129" s="63" t="s">
        <v>105</v>
      </c>
      <c r="F129" s="91" t="s">
        <v>369</v>
      </c>
      <c r="G129" s="83">
        <v>50</v>
      </c>
      <c r="H129" s="21">
        <f>IF(OR(J129="",K129="",K129&lt;J129),0,NETWORKDAYS(J129,K129,[1]fESTIVOS!$A$2:$A$53))</f>
        <v>0</v>
      </c>
      <c r="I129" s="87">
        <v>46064</v>
      </c>
      <c r="J129" s="73">
        <v>46064</v>
      </c>
      <c r="K129" s="73"/>
      <c r="L129" s="73"/>
      <c r="M129" s="25">
        <f ca="1">IF(OR(J129="",AND(L129="",TODAY()&lt;J129),AND(L129&lt;&gt;"",L129&lt;J129)),0,
   IF(L129="",
      NETWORKDAYS(J129,TODAY(),[1]fESTIVOS!$A$2:$A$53),
      NETWORKDAYS(J129,L129,[1]fESTIVOS!$A$2:$A$53)
   )
)</f>
        <v>9</v>
      </c>
      <c r="N129" s="84"/>
      <c r="O129" s="84"/>
      <c r="P129" s="85"/>
      <c r="Q129" s="97" t="s">
        <v>457</v>
      </c>
      <c r="R129" s="71" t="s">
        <v>25</v>
      </c>
      <c r="S129" s="70"/>
    </row>
    <row r="130" spans="1:19" ht="29.25" customHeight="1">
      <c r="A130" s="80" t="s">
        <v>19</v>
      </c>
      <c r="B130" s="63" t="s">
        <v>458</v>
      </c>
      <c r="C130" s="81" t="s">
        <v>459</v>
      </c>
      <c r="D130" s="92" t="s">
        <v>460</v>
      </c>
      <c r="E130" s="63" t="s">
        <v>105</v>
      </c>
      <c r="F130" s="91" t="s">
        <v>369</v>
      </c>
      <c r="G130" s="83">
        <v>10</v>
      </c>
      <c r="H130" s="21">
        <f>IF(OR(J130="",K130="",K130&lt;J130),0,NETWORKDAYS(J130,K130,[1]fESTIVOS!$A$2:$A$53))</f>
        <v>0</v>
      </c>
      <c r="I130" s="87">
        <v>46064</v>
      </c>
      <c r="J130" s="73">
        <v>46064</v>
      </c>
      <c r="K130" s="73"/>
      <c r="L130" s="73"/>
      <c r="M130" s="25">
        <f ca="1">IF(OR(J130="",AND(L130="",TODAY()&lt;J130),AND(L130&lt;&gt;"",L130&lt;J130)),0,
   IF(L130="",
      NETWORKDAYS(J130,TODAY(),[1]fESTIVOS!$A$2:$A$53),
      NETWORKDAYS(J130,L130,[1]fESTIVOS!$A$2:$A$53)
   )
)</f>
        <v>9</v>
      </c>
      <c r="N130" s="84"/>
      <c r="O130" s="84"/>
      <c r="P130" s="85"/>
      <c r="Q130" s="97" t="s">
        <v>461</v>
      </c>
      <c r="R130" s="71" t="s">
        <v>25</v>
      </c>
      <c r="S130" s="70"/>
    </row>
    <row r="131" spans="1:19" ht="29.25" customHeight="1">
      <c r="A131" s="80" t="s">
        <v>19</v>
      </c>
      <c r="B131" s="63" t="s">
        <v>462</v>
      </c>
      <c r="C131" s="81" t="s">
        <v>463</v>
      </c>
      <c r="D131" s="92" t="s">
        <v>464</v>
      </c>
      <c r="E131" s="63" t="s">
        <v>105</v>
      </c>
      <c r="F131" s="91" t="s">
        <v>369</v>
      </c>
      <c r="G131" s="83">
        <v>50</v>
      </c>
      <c r="H131" s="21">
        <f>IF(OR(J131="",K131="",K131&lt;J131),0,NETWORKDAYS(J131,K131,[1]fESTIVOS!$A$2:$A$53))</f>
        <v>0</v>
      </c>
      <c r="I131" s="87">
        <v>46064</v>
      </c>
      <c r="J131" s="73">
        <v>46064</v>
      </c>
      <c r="K131" s="73"/>
      <c r="L131" s="73"/>
      <c r="M131" s="25">
        <f ca="1">IF(OR(J131="",AND(L131="",TODAY()&lt;J131),AND(L131&lt;&gt;"",L131&lt;J131)),0,
   IF(L131="",
      NETWORKDAYS(J131,TODAY(),[1]fESTIVOS!$A$2:$A$53),
      NETWORKDAYS(J131,L131,[1]fESTIVOS!$A$2:$A$53)
   )
)</f>
        <v>9</v>
      </c>
      <c r="N131" s="84"/>
      <c r="O131" s="84"/>
      <c r="P131" s="85"/>
      <c r="Q131" s="97" t="s">
        <v>465</v>
      </c>
      <c r="R131" s="71" t="s">
        <v>25</v>
      </c>
      <c r="S131" s="70"/>
    </row>
    <row r="132" spans="1:19" ht="29.25" customHeight="1">
      <c r="A132" s="80" t="s">
        <v>19</v>
      </c>
      <c r="B132" s="63" t="s">
        <v>466</v>
      </c>
      <c r="C132" s="81" t="s">
        <v>467</v>
      </c>
      <c r="D132" s="92" t="s">
        <v>468</v>
      </c>
      <c r="E132" s="63" t="s">
        <v>105</v>
      </c>
      <c r="F132" s="91" t="s">
        <v>369</v>
      </c>
      <c r="G132" s="83">
        <v>50</v>
      </c>
      <c r="H132" s="21">
        <f>IF(OR(J133="",K132="",K132&lt;J133),0,NETWORKDAYS(J133,K132,[1]fESTIVOS!$A$2:$A$53))</f>
        <v>0</v>
      </c>
      <c r="I132" s="87">
        <v>46064</v>
      </c>
      <c r="J132" s="73">
        <v>46064</v>
      </c>
      <c r="K132" s="73"/>
      <c r="L132" s="73"/>
      <c r="M132" s="25">
        <f ca="1">IF(OR(J133="",AND(L132="",TODAY()&lt;J133),AND(L132&lt;&gt;"",L132&lt;J133)),0,
   IF(L132="",
      NETWORKDAYS(J133,TODAY(),[1]fESTIVOS!$A$2:$A$53),
      NETWORKDAYS(J133,L132,[1]fESTIVOS!$A$2:$A$53)
   )
)</f>
        <v>9</v>
      </c>
      <c r="N132" s="84"/>
      <c r="O132" s="84"/>
      <c r="P132" s="85"/>
      <c r="Q132" s="97" t="s">
        <v>469</v>
      </c>
      <c r="R132" s="71" t="s">
        <v>25</v>
      </c>
      <c r="S132" s="70"/>
    </row>
    <row r="133" spans="1:19" ht="29.25" customHeight="1">
      <c r="A133" s="80" t="s">
        <v>19</v>
      </c>
      <c r="B133" s="63" t="s">
        <v>470</v>
      </c>
      <c r="C133" s="81" t="s">
        <v>471</v>
      </c>
      <c r="D133" s="92" t="s">
        <v>472</v>
      </c>
      <c r="E133" s="63" t="s">
        <v>105</v>
      </c>
      <c r="F133" s="91" t="s">
        <v>369</v>
      </c>
      <c r="G133" s="83">
        <v>50</v>
      </c>
      <c r="H133" s="21" t="e">
        <f>IF(OR(#REF!="",K133="",K133&lt;#REF!),0,NETWORKDAYS(#REF!,K133,[1]fESTIVOS!$A$2:$A$53))</f>
        <v>#REF!</v>
      </c>
      <c r="I133" s="87">
        <v>46064</v>
      </c>
      <c r="J133" s="73">
        <v>46064</v>
      </c>
      <c r="K133" s="73"/>
      <c r="L133" s="73"/>
      <c r="M133" s="25" t="e">
        <f ca="1">IF(OR(#REF!="",AND(L133="",TODAY()&lt;#REF!),AND(L133&lt;&gt;"",L133&lt;#REF!)),0,
   IF(L133="",
      NETWORKDAYS(#REF!,TODAY(),[1]fESTIVOS!$A$2:$A$53),
      NETWORKDAYS(#REF!,L133,[1]fESTIVOS!$A$2:$A$53)
   )
)</f>
        <v>#REF!</v>
      </c>
      <c r="N133" s="84"/>
      <c r="O133" s="84"/>
      <c r="P133" s="85"/>
      <c r="Q133" s="97" t="s">
        <v>473</v>
      </c>
      <c r="R133" s="71" t="s">
        <v>25</v>
      </c>
      <c r="S133" s="70"/>
    </row>
    <row r="134" spans="1:19" ht="29.25" customHeight="1">
      <c r="A134" s="88" t="s">
        <v>19</v>
      </c>
      <c r="B134" s="77" t="s">
        <v>474</v>
      </c>
      <c r="C134" s="89" t="s">
        <v>475</v>
      </c>
      <c r="D134" s="93" t="s">
        <v>476</v>
      </c>
      <c r="E134" s="77" t="s">
        <v>88</v>
      </c>
      <c r="F134" s="90" t="s">
        <v>23</v>
      </c>
      <c r="G134" s="78">
        <v>100</v>
      </c>
      <c r="H134" s="21">
        <f>IF(OR(J134="",K134="",K134&lt;J134),0,NETWORKDAYS(J134,K134,[1]fESTIVOS!$A$2:$A$53))</f>
        <v>1</v>
      </c>
      <c r="I134" s="94">
        <v>46071</v>
      </c>
      <c r="J134" s="95">
        <v>46071</v>
      </c>
      <c r="K134" s="95">
        <v>46071</v>
      </c>
      <c r="L134" s="95">
        <v>46071</v>
      </c>
      <c r="M134" s="25">
        <f ca="1">IF(OR(J134="",AND(L134="",TODAY()&lt;J134),AND(L134&lt;&gt;"",L134&lt;J134)),0,
   IF(L134="",
      NETWORKDAYS(J134,TODAY(),[1]fESTIVOS!$A$2:$A$53),
      NETWORKDAYS(J134,L134,[1]fESTIVOS!$A$2:$A$53)
   )
)</f>
        <v>1</v>
      </c>
      <c r="N134" s="68"/>
      <c r="O134" s="68"/>
      <c r="P134" s="69"/>
      <c r="Q134" s="96" t="s">
        <v>477</v>
      </c>
      <c r="R134" s="79" t="s">
        <v>25</v>
      </c>
      <c r="S134" s="76"/>
    </row>
    <row r="135" spans="1:19" ht="29.25" customHeight="1">
      <c r="A135" s="88" t="s">
        <v>19</v>
      </c>
      <c r="B135" s="77" t="s">
        <v>478</v>
      </c>
      <c r="C135" s="89" t="s">
        <v>479</v>
      </c>
      <c r="D135" s="93" t="s">
        <v>480</v>
      </c>
      <c r="E135" s="77" t="s">
        <v>88</v>
      </c>
      <c r="F135" s="90" t="s">
        <v>23</v>
      </c>
      <c r="G135" s="78">
        <v>100</v>
      </c>
      <c r="H135" s="21">
        <f>IF(OR(J135="",K135="",K135&lt;J135),0,NETWORKDAYS(J135,K135,[1]fESTIVOS!$A$2:$A$53))</f>
        <v>1</v>
      </c>
      <c r="I135" s="94">
        <v>46073</v>
      </c>
      <c r="J135" s="95">
        <v>46073</v>
      </c>
      <c r="K135" s="95">
        <v>46073</v>
      </c>
      <c r="L135" s="95">
        <v>46073</v>
      </c>
      <c r="M135" s="25">
        <f ca="1">IF(OR(J135="",AND(L135="",TODAY()&lt;J135),AND(L135&lt;&gt;"",L135&lt;J135)),0,
   IF(L135="",
      NETWORKDAYS(J135,TODAY(),[1]fESTIVOS!$A$2:$A$53),
      NETWORKDAYS(J135,L135,[1]fESTIVOS!$A$2:$A$53)
   )
)</f>
        <v>1</v>
      </c>
      <c r="N135" s="68"/>
      <c r="O135" s="68"/>
      <c r="P135" s="69"/>
      <c r="Q135" s="96" t="s">
        <v>481</v>
      </c>
      <c r="R135" s="79" t="s">
        <v>25</v>
      </c>
      <c r="S135" s="76"/>
    </row>
    <row r="136" spans="1:19" ht="29.25" customHeight="1">
      <c r="A136" s="88" t="s">
        <v>19</v>
      </c>
      <c r="B136" s="77" t="s">
        <v>482</v>
      </c>
      <c r="C136" s="89" t="s">
        <v>483</v>
      </c>
      <c r="D136" s="93" t="s">
        <v>484</v>
      </c>
      <c r="E136" s="77" t="s">
        <v>88</v>
      </c>
      <c r="F136" s="90" t="s">
        <v>23</v>
      </c>
      <c r="G136" s="78">
        <v>100</v>
      </c>
      <c r="H136" s="21">
        <f>IF(OR(J136="",K136="",K136&lt;J136),0,NETWORKDAYS(J136,K136,[1]fESTIVOS!$A$2:$A$53))</f>
        <v>1</v>
      </c>
      <c r="I136" s="94">
        <v>46073</v>
      </c>
      <c r="J136" s="95">
        <v>46073</v>
      </c>
      <c r="K136" s="95">
        <v>46073</v>
      </c>
      <c r="L136" s="95">
        <v>46073</v>
      </c>
      <c r="M136" s="25">
        <f ca="1">IF(OR(J136="",AND(L136="",TODAY()&lt;J136),AND(L136&lt;&gt;"",L136&lt;J136)),0,
   IF(L136="",
      NETWORKDAYS(J136,TODAY(),[1]fESTIVOS!$A$2:$A$53),
      NETWORKDAYS(J136,L136,[1]fESTIVOS!$A$2:$A$53)
   )
)</f>
        <v>1</v>
      </c>
      <c r="N136" s="68"/>
      <c r="O136" s="68"/>
      <c r="P136" s="69"/>
      <c r="Q136" s="96" t="s">
        <v>485</v>
      </c>
      <c r="R136" s="79" t="s">
        <v>25</v>
      </c>
      <c r="S136" s="76"/>
    </row>
    <row r="137" spans="1:19" ht="29.25" customHeight="1"/>
    <row r="138" spans="1:19" ht="29.25" customHeight="1"/>
    <row r="139" spans="1:19" ht="29.25" customHeight="1"/>
    <row r="140" spans="1:19" ht="29.25" customHeight="1"/>
    <row r="141" spans="1:19" ht="29.25" customHeight="1"/>
    <row r="142" spans="1:19" ht="29.25" customHeight="1"/>
    <row r="143" spans="1:19" ht="29.25" customHeight="1"/>
    <row r="144" spans="1:19" ht="29.25" customHeight="1"/>
    <row r="145" ht="29.25" customHeight="1"/>
    <row r="146" ht="29.25" customHeight="1"/>
    <row r="147" ht="29.25" customHeight="1"/>
    <row r="148" ht="29.25" customHeight="1"/>
    <row r="149" ht="29.25" customHeight="1"/>
    <row r="150" ht="29.25" customHeight="1"/>
    <row r="151" ht="29.25" customHeight="1"/>
    <row r="152" ht="29.25" customHeight="1"/>
    <row r="153" ht="29.25" customHeight="1"/>
    <row r="154" ht="29.25" customHeight="1"/>
    <row r="155" ht="29.25" customHeight="1"/>
    <row r="156" ht="29.25" customHeight="1"/>
    <row r="157" ht="29.25" customHeight="1"/>
    <row r="158" ht="29.25" customHeight="1"/>
    <row r="159" ht="29.25" customHeight="1"/>
    <row r="160" ht="29.25" customHeight="1"/>
    <row r="161" ht="29.25" customHeight="1"/>
    <row r="162" ht="29.25" customHeight="1"/>
    <row r="163" ht="29.25" customHeight="1"/>
    <row r="164" ht="29.25" customHeight="1"/>
    <row r="165" ht="29.25" customHeight="1"/>
    <row r="166" ht="29.25" customHeight="1"/>
    <row r="167" ht="29.25" customHeight="1"/>
    <row r="168" ht="29.25" customHeight="1"/>
    <row r="169" ht="29.25" customHeight="1"/>
    <row r="170" ht="29.25" customHeight="1"/>
    <row r="171" ht="29.25" customHeight="1"/>
    <row r="172" ht="29.25" customHeight="1"/>
    <row r="173" ht="29.25" customHeight="1"/>
    <row r="174" ht="29.25" customHeight="1"/>
    <row r="175" ht="29.25" customHeight="1"/>
    <row r="176" ht="29.25" customHeight="1"/>
    <row r="177" ht="29.25" customHeight="1"/>
    <row r="178" ht="29.25" customHeight="1"/>
    <row r="179" ht="29.25" customHeight="1"/>
    <row r="180" ht="29.25" customHeight="1"/>
    <row r="181" ht="29.25" customHeight="1"/>
    <row r="182" ht="29.25" customHeight="1"/>
    <row r="183" ht="29.25" customHeight="1"/>
    <row r="184" ht="29.25" customHeight="1"/>
    <row r="185" ht="29.25" customHeight="1"/>
    <row r="186" ht="29.25" customHeight="1"/>
    <row r="187" ht="29.25" customHeight="1"/>
    <row r="188" ht="29.25" customHeight="1"/>
    <row r="189" ht="29.25" customHeight="1"/>
    <row r="190" ht="29.25" customHeight="1"/>
    <row r="191" ht="29.25" customHeight="1"/>
    <row r="192" ht="29.25" customHeight="1"/>
    <row r="193" ht="29.25" customHeight="1"/>
    <row r="194" ht="29.25" customHeight="1"/>
    <row r="195" ht="29.25" customHeight="1"/>
    <row r="196" ht="29.25" customHeight="1"/>
    <row r="197" ht="29.25" customHeight="1"/>
    <row r="198" ht="29.25" customHeight="1"/>
    <row r="199" ht="29.25" customHeight="1"/>
    <row r="200" ht="29.25" customHeight="1"/>
    <row r="201" ht="29.25" customHeight="1"/>
    <row r="202" ht="29.25" customHeight="1"/>
    <row r="203" ht="29.25" customHeight="1"/>
    <row r="204" ht="29.25" customHeight="1"/>
    <row r="205" ht="29.25" customHeight="1"/>
    <row r="206" ht="29.25" customHeight="1"/>
    <row r="207" ht="29.25" customHeight="1"/>
    <row r="208"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sheetData>
  <conditionalFormatting sqref="B2:B137">
    <cfRule type="expression" dxfId="0" priority="2">
      <formula>COUNTIF($B$2:$B$136,B2)&gt;1</formula>
    </cfRule>
  </conditionalFormatting>
  <dataValidations count="3">
    <dataValidation allowBlank="1" showDropDown="1" sqref="R2:R136"/>
    <dataValidation type="custom" allowBlank="1" showDropDown="1" sqref="I2:L136 O2:P136">
      <formula1>OR(NOT(ISERROR(DATEVALUE(I2))), AND(ISNUMBER(I2), LEFT(CELL("format", I2))="D"))</formula1>
    </dataValidation>
    <dataValidation type="list" allowBlank="1" sqref="F2:F136">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2026-02-23T22:19:39Z</dcterms:created>
  <dcterms:modified xsi:type="dcterms:W3CDTF">2026-02-23T22:59:06Z</dcterms:modified>
</cp:coreProperties>
</file>